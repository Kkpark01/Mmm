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drawings/drawing2.xml" ContentType="application/vnd.openxmlformats-officedocument.drawing+xml"/>
  <Override PartName="/xl/ctrlProps/ctrlProp19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file-sig\S-DTS\FE業務改革室\業務G2T\03.個人共有フォルダ\山本\山本_作業データ（手続依頼・更新案内・見積等）\"/>
    </mc:Choice>
  </mc:AlternateContent>
  <xr:revisionPtr revIDLastSave="0" documentId="13_ncr:1_{225D7520-379C-4EF7-8FDB-79DCF4332E49}" xr6:coauthVersionLast="47" xr6:coauthVersionMax="47" xr10:uidLastSave="{00000000-0000-0000-0000-000000000000}"/>
  <bookViews>
    <workbookView xWindow="-28920" yWindow="-75" windowWidth="29040" windowHeight="17520" xr2:uid="{00000000-000D-0000-FFFF-FFFF00000000}"/>
  </bookViews>
  <sheets>
    <sheet name="宛先リスト" sheetId="1" r:id="rId1"/>
    <sheet name="解約完了連絡リスト" sheetId="3" r:id="rId2"/>
    <sheet name="解約完了連絡テンプレート" sheetId="4" r:id="rId3"/>
    <sheet name="操作説明" sheetId="6" r:id="rId4"/>
    <sheet name="111期アドレス帳" sheetId="11" r:id="rId5"/>
    <sheet name="期変わり対応" sheetId="12" r:id="rId6"/>
  </sheets>
  <definedNames>
    <definedName name="_xlnm._FilterDatabase" localSheetId="4" hidden="1">'111期アドレス帳'!$A$1:$G$702</definedName>
    <definedName name="_xlnm._FilterDatabase" localSheetId="0" hidden="1">宛先リスト!$A$3:$X$84</definedName>
    <definedName name="_xlnm._FilterDatabase" localSheetId="1" hidden="1">解約完了連絡リスト!$B$3:$R$84</definedName>
    <definedName name="_xlnm.Print_Area" localSheetId="0">宛先リスト!$N$2:$S$90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1" l="1"/>
  <c r="F35" i="1"/>
  <c r="F62" i="1"/>
  <c r="F61" i="1"/>
  <c r="E39" i="1"/>
  <c r="E38" i="1"/>
  <c r="D39" i="1"/>
  <c r="D38" i="1"/>
  <c r="F58" i="1"/>
  <c r="E34" i="1"/>
  <c r="E33" i="1"/>
  <c r="F85" i="1"/>
  <c r="F79" i="1"/>
  <c r="F75" i="1"/>
  <c r="F74" i="1"/>
  <c r="F71" i="1"/>
  <c r="F68" i="1"/>
  <c r="F67" i="1"/>
  <c r="F57" i="1"/>
  <c r="F56" i="1"/>
  <c r="F48" i="1"/>
  <c r="F40" i="1"/>
  <c r="F30" i="1"/>
  <c r="F29" i="1"/>
  <c r="F22" i="1"/>
  <c r="F21" i="1"/>
  <c r="F14" i="1"/>
  <c r="F13" i="1"/>
  <c r="F12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7" i="1"/>
  <c r="E36" i="1"/>
  <c r="E35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F10" i="1"/>
  <c r="F9" i="1"/>
  <c r="E11" i="1"/>
  <c r="E10" i="1"/>
  <c r="E9" i="1"/>
  <c r="E8" i="1"/>
  <c r="E7" i="1"/>
  <c r="E6" i="1"/>
  <c r="E5" i="1"/>
  <c r="E4" i="1"/>
  <c r="D11" i="1"/>
  <c r="D10" i="1"/>
  <c r="D9" i="1"/>
  <c r="D8" i="1"/>
  <c r="D7" i="1"/>
  <c r="D6" i="1"/>
  <c r="D5" i="1"/>
  <c r="D4" i="1"/>
  <c r="E6" i="12" l="1" a="1"/>
  <c r="E6" i="12" s="1"/>
  <c r="B6" i="12" a="1"/>
  <c r="B6" i="12" s="1"/>
  <c r="A89" i="1" l="1"/>
  <c r="A88" i="1"/>
  <c r="A87" i="1"/>
  <c r="A86" i="1"/>
  <c r="A85" i="1"/>
  <c r="A84" i="1"/>
  <c r="A63" i="1" l="1"/>
  <c r="A59" i="1"/>
  <c r="A48" i="1"/>
  <c r="A29" i="1"/>
  <c r="A28" i="1"/>
  <c r="A24" i="1"/>
  <c r="A20" i="1"/>
  <c r="A17" i="1"/>
  <c r="X32" i="1"/>
  <c r="X63" i="1"/>
  <c r="X59" i="1"/>
  <c r="X48" i="1"/>
  <c r="X31" i="1"/>
  <c r="X27" i="1"/>
  <c r="X21" i="1"/>
  <c r="X24" i="1"/>
  <c r="X17" i="1"/>
  <c r="X4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21" i="1" s="1"/>
  <c r="A22" i="1" s="1"/>
  <c r="A23" i="1" s="1"/>
  <c r="A18" i="1" s="1"/>
  <c r="A19" i="1" s="1"/>
  <c r="A25" i="1" s="1"/>
  <c r="A26" i="1" s="1"/>
  <c r="A27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9" i="1" s="1"/>
  <c r="A50" i="1" s="1"/>
  <c r="A52" i="1" s="1"/>
  <c r="A51" i="1" s="1"/>
  <c r="A53" i="1" s="1"/>
  <c r="A54" i="1" s="1"/>
  <c r="A55" i="1" s="1"/>
  <c r="A56" i="1" s="1"/>
  <c r="A57" i="1" s="1"/>
  <c r="A58" i="1" s="1"/>
  <c r="A60" i="1" s="1"/>
  <c r="A61" i="1" s="1"/>
  <c r="A62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80" i="1" s="1"/>
  <c r="A79" i="1" s="1"/>
  <c r="A81" i="1" s="1"/>
  <c r="A82" i="1" s="1"/>
  <c r="A83" i="1" s="1"/>
  <c r="W66" i="1" l="1"/>
  <c r="X83" i="1"/>
  <c r="X82" i="1"/>
  <c r="X81" i="1"/>
  <c r="X80" i="1"/>
  <c r="X79" i="1"/>
  <c r="X78" i="1"/>
  <c r="X43" i="1"/>
  <c r="X44" i="1"/>
  <c r="X45" i="1"/>
  <c r="X46" i="1"/>
  <c r="X47" i="1"/>
  <c r="X49" i="1"/>
  <c r="X50" i="1"/>
  <c r="X51" i="1"/>
  <c r="X52" i="1"/>
  <c r="X53" i="1"/>
  <c r="X54" i="1"/>
  <c r="X55" i="1"/>
  <c r="X56" i="1"/>
  <c r="X57" i="1"/>
  <c r="X58" i="1"/>
  <c r="X60" i="1"/>
  <c r="X61" i="1"/>
  <c r="X62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W83" i="1"/>
  <c r="W82" i="1"/>
  <c r="W81" i="1"/>
  <c r="W80" i="1"/>
  <c r="W79" i="1"/>
  <c r="W78" i="1"/>
  <c r="W67" i="1"/>
  <c r="W68" i="1"/>
  <c r="W69" i="1"/>
  <c r="W70" i="1"/>
  <c r="W71" i="1"/>
  <c r="W72" i="1"/>
  <c r="W73" i="1"/>
  <c r="W74" i="1"/>
  <c r="W75" i="1"/>
  <c r="W76" i="1"/>
  <c r="W77" i="1"/>
  <c r="W51" i="1"/>
  <c r="W52" i="1"/>
  <c r="W53" i="1"/>
  <c r="W54" i="1"/>
  <c r="W55" i="1"/>
  <c r="W56" i="1"/>
  <c r="W57" i="1"/>
  <c r="W58" i="1"/>
  <c r="W60" i="1"/>
  <c r="W61" i="1"/>
  <c r="W62" i="1"/>
  <c r="W64" i="1"/>
  <c r="W65" i="1"/>
  <c r="W47" i="1"/>
  <c r="W49" i="1"/>
  <c r="W50" i="1"/>
  <c r="W44" i="1"/>
  <c r="W45" i="1"/>
  <c r="W46" i="1"/>
  <c r="X22" i="1"/>
  <c r="X23" i="1"/>
  <c r="X25" i="1"/>
  <c r="X26" i="1"/>
  <c r="X28" i="1"/>
  <c r="X29" i="1"/>
  <c r="X30" i="1"/>
  <c r="X33" i="1"/>
  <c r="X34" i="1"/>
  <c r="X35" i="1"/>
  <c r="X36" i="1"/>
  <c r="X37" i="1"/>
  <c r="X38" i="1"/>
  <c r="X39" i="1"/>
  <c r="X40" i="1"/>
  <c r="X41" i="1"/>
  <c r="X42" i="1"/>
  <c r="W22" i="1"/>
  <c r="W23" i="1"/>
  <c r="W25" i="1"/>
  <c r="W26" i="1"/>
  <c r="W27" i="1"/>
  <c r="W28" i="1"/>
  <c r="W29" i="1"/>
  <c r="W30" i="1"/>
  <c r="W33" i="1"/>
  <c r="W34" i="1"/>
  <c r="W35" i="1"/>
  <c r="W36" i="1"/>
  <c r="W37" i="1"/>
  <c r="W38" i="1"/>
  <c r="W39" i="1"/>
  <c r="W40" i="1"/>
  <c r="W41" i="1"/>
  <c r="W42" i="1"/>
  <c r="W43" i="1"/>
  <c r="X5" i="1" l="1"/>
  <c r="X6" i="1"/>
  <c r="X7" i="1"/>
  <c r="X8" i="1"/>
  <c r="X9" i="1"/>
  <c r="X10" i="1"/>
  <c r="X11" i="1"/>
  <c r="X12" i="1"/>
  <c r="X13" i="1"/>
  <c r="X14" i="1"/>
  <c r="X15" i="1"/>
  <c r="X16" i="1"/>
  <c r="X18" i="1"/>
  <c r="X19" i="1"/>
  <c r="X20" i="1"/>
  <c r="W5" i="1"/>
  <c r="W6" i="1"/>
  <c r="W7" i="1"/>
  <c r="W8" i="1"/>
  <c r="W9" i="1"/>
  <c r="W10" i="1"/>
  <c r="W11" i="1"/>
  <c r="W12" i="1"/>
  <c r="W13" i="1"/>
  <c r="W14" i="1"/>
  <c r="W15" i="1"/>
  <c r="W16" i="1"/>
  <c r="W18" i="1"/>
  <c r="W19" i="1"/>
  <c r="W20" i="1"/>
  <c r="W4" i="1"/>
  <c r="A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<sst xmlns="http://schemas.openxmlformats.org/spreadsheetml/2006/main" count="6234" uniqueCount="3056">
  <si>
    <t>保守製番送信リスト （敬称略）</t>
    <rPh sb="0" eb="2">
      <t>ホシュ</t>
    </rPh>
    <rPh sb="2" eb="3">
      <t>セイ</t>
    </rPh>
    <rPh sb="3" eb="4">
      <t>バン</t>
    </rPh>
    <rPh sb="4" eb="6">
      <t>ソウシン</t>
    </rPh>
    <rPh sb="11" eb="14">
      <t>ケイショウリャク</t>
    </rPh>
    <phoneticPr fontId="4"/>
  </si>
  <si>
    <t>店舗名</t>
    <rPh sb="0" eb="2">
      <t>テンポ</t>
    </rPh>
    <rPh sb="2" eb="3">
      <t>メイ</t>
    </rPh>
    <phoneticPr fontId="4"/>
  </si>
  <si>
    <t>支店名</t>
    <rPh sb="0" eb="2">
      <t>シテン</t>
    </rPh>
    <rPh sb="2" eb="3">
      <t>メイ</t>
    </rPh>
    <phoneticPr fontId="4"/>
  </si>
  <si>
    <t>店舗長</t>
    <rPh sb="0" eb="2">
      <t>テンポ</t>
    </rPh>
    <rPh sb="2" eb="3">
      <t>チョウ</t>
    </rPh>
    <phoneticPr fontId="4"/>
  </si>
  <si>
    <t>年額（税抜き）</t>
    <rPh sb="0" eb="2">
      <t>ネンガク</t>
    </rPh>
    <rPh sb="3" eb="4">
      <t>ゼイ</t>
    </rPh>
    <rPh sb="4" eb="5">
      <t>ヌ</t>
    </rPh>
    <phoneticPr fontId="4"/>
  </si>
  <si>
    <t>客先解約日</t>
    <rPh sb="0" eb="2">
      <t>キャクサキ</t>
    </rPh>
    <rPh sb="2" eb="4">
      <t>カイヤク</t>
    </rPh>
    <rPh sb="4" eb="5">
      <t>ヒ</t>
    </rPh>
    <phoneticPr fontId="4"/>
  </si>
  <si>
    <t>時間</t>
    <rPh sb="0" eb="2">
      <t>ジカン</t>
    </rPh>
    <phoneticPr fontId="4"/>
  </si>
  <si>
    <t>お客様名</t>
    <rPh sb="1" eb="3">
      <t>キャクサマ</t>
    </rPh>
    <rPh sb="3" eb="4">
      <t>メイ</t>
    </rPh>
    <phoneticPr fontId="4"/>
  </si>
  <si>
    <t>プラント名</t>
    <rPh sb="4" eb="5">
      <t>メイ</t>
    </rPh>
    <phoneticPr fontId="4"/>
  </si>
  <si>
    <t>DTS受注金額</t>
    <rPh sb="3" eb="5">
      <t>ジュチュウ</t>
    </rPh>
    <rPh sb="5" eb="7">
      <t>キンガク</t>
    </rPh>
    <phoneticPr fontId="4"/>
  </si>
  <si>
    <t>契約メーカー</t>
    <rPh sb="0" eb="2">
      <t>ケイヤク</t>
    </rPh>
    <phoneticPr fontId="4"/>
  </si>
  <si>
    <t>メーカー契約金額</t>
    <rPh sb="4" eb="6">
      <t>ケイヤク</t>
    </rPh>
    <rPh sb="6" eb="8">
      <t>キンガク</t>
    </rPh>
    <phoneticPr fontId="4"/>
  </si>
  <si>
    <t>契約書№</t>
    <rPh sb="0" eb="3">
      <t>ケイヤクショ</t>
    </rPh>
    <phoneticPr fontId="4"/>
  </si>
  <si>
    <t>登録ﾁｪｯｸ</t>
    <rPh sb="0" eb="2">
      <t>トウロク</t>
    </rPh>
    <phoneticPr fontId="4"/>
  </si>
  <si>
    <t>ﾒｰｶｰ解約日</t>
    <rPh sb="4" eb="6">
      <t>カイヤク</t>
    </rPh>
    <rPh sb="6" eb="7">
      <t>ヒ</t>
    </rPh>
    <phoneticPr fontId="4"/>
  </si>
  <si>
    <t>支払回数</t>
    <rPh sb="0" eb="2">
      <t>シハラ</t>
    </rPh>
    <rPh sb="2" eb="4">
      <t>カイスウ</t>
    </rPh>
    <phoneticPr fontId="4"/>
  </si>
  <si>
    <t>解約理由</t>
    <rPh sb="0" eb="2">
      <t>カイヤク</t>
    </rPh>
    <rPh sb="2" eb="4">
      <t>リユウ</t>
    </rPh>
    <phoneticPr fontId="4"/>
  </si>
  <si>
    <t>備考(確認事項）</t>
    <rPh sb="0" eb="2">
      <t>ビコウ</t>
    </rPh>
    <rPh sb="3" eb="5">
      <t>カクニン</t>
    </rPh>
    <rPh sb="5" eb="7">
      <t>ジコウ</t>
    </rPh>
    <phoneticPr fontId="4"/>
  </si>
  <si>
    <t>件名</t>
    <rPh sb="0" eb="2">
      <t>ケンメイ</t>
    </rPh>
    <phoneticPr fontId="4"/>
  </si>
  <si>
    <t>本文</t>
    <rPh sb="0" eb="2">
      <t>ホンブン</t>
    </rPh>
    <phoneticPr fontId="4"/>
  </si>
  <si>
    <t>解約手続が完了しましたので、ご報告いたします。</t>
  </si>
  <si>
    <t>署名</t>
    <rPh sb="0" eb="2">
      <t>ショメイ</t>
    </rPh>
    <phoneticPr fontId="4"/>
  </si>
  <si>
    <t>ｻﾎﾟｰﾄID</t>
    <phoneticPr fontId="4"/>
  </si>
  <si>
    <t>システムコード</t>
    <phoneticPr fontId="4"/>
  </si>
  <si>
    <t>NotesLink</t>
    <phoneticPr fontId="4"/>
  </si>
  <si>
    <t>仕様</t>
    <rPh sb="0" eb="2">
      <t>シヨウ</t>
    </rPh>
    <phoneticPr fontId="4"/>
  </si>
  <si>
    <t>『解約完了連絡リスト』シートのリストに従いメールを作成します。</t>
    <rPh sb="1" eb="3">
      <t>カイヤク</t>
    </rPh>
    <rPh sb="3" eb="5">
      <t>カンリョウ</t>
    </rPh>
    <rPh sb="5" eb="7">
      <t>レンラク</t>
    </rPh>
    <rPh sb="19" eb="20">
      <t>シタガ</t>
    </rPh>
    <rPh sb="25" eb="27">
      <t>サクセイ</t>
    </rPh>
    <phoneticPr fontId="4"/>
  </si>
  <si>
    <t>概要</t>
    <rPh sb="0" eb="2">
      <t>ガイヨウ</t>
    </rPh>
    <phoneticPr fontId="4"/>
  </si>
  <si>
    <t>■店舗指定Mail、全体送信</t>
    <rPh sb="1" eb="3">
      <t>テンポ</t>
    </rPh>
    <rPh sb="3" eb="5">
      <t>シテイ</t>
    </rPh>
    <rPh sb="10" eb="12">
      <t>ゼンタイ</t>
    </rPh>
    <rPh sb="12" eb="14">
      <t>ソウシン</t>
    </rPh>
    <phoneticPr fontId="4"/>
  </si>
  <si>
    <t>指定された、宛先のテキストデータを生成します。</t>
    <rPh sb="0" eb="2">
      <t>シテイ</t>
    </rPh>
    <rPh sb="6" eb="8">
      <t>アテサキ</t>
    </rPh>
    <rPh sb="17" eb="19">
      <t>セイセイ</t>
    </rPh>
    <phoneticPr fontId="4"/>
  </si>
  <si>
    <t>そのまま、メール画面起動も可能</t>
    <rPh sb="8" eb="10">
      <t>ガメン</t>
    </rPh>
    <rPh sb="10" eb="12">
      <t>キドウ</t>
    </rPh>
    <rPh sb="13" eb="15">
      <t>カノウ</t>
    </rPh>
    <phoneticPr fontId="4"/>
  </si>
  <si>
    <t>■解約完了メール作成</t>
    <rPh sb="1" eb="3">
      <t>カイヤク</t>
    </rPh>
    <rPh sb="3" eb="5">
      <t>カンリョウ</t>
    </rPh>
    <rPh sb="8" eb="10">
      <t>サクセイ</t>
    </rPh>
    <phoneticPr fontId="4"/>
  </si>
  <si>
    <t>店舗長列をto、それ以外(E列～H列)をccとして作成</t>
    <rPh sb="0" eb="2">
      <t>テンポ</t>
    </rPh>
    <rPh sb="2" eb="3">
      <t>チョウ</t>
    </rPh>
    <rPh sb="3" eb="4">
      <t>レツ</t>
    </rPh>
    <rPh sb="10" eb="12">
      <t>イガイ</t>
    </rPh>
    <rPh sb="14" eb="15">
      <t>レツ</t>
    </rPh>
    <rPh sb="17" eb="18">
      <t>レツ</t>
    </rPh>
    <rPh sb="25" eb="27">
      <t>サクセイ</t>
    </rPh>
    <phoneticPr fontId="4"/>
  </si>
  <si>
    <t>リスト内氏名は、Outlookアドレス帳と一致する必要があります。</t>
    <rPh sb="3" eb="4">
      <t>ナイ</t>
    </rPh>
    <rPh sb="4" eb="6">
      <t>シメイ</t>
    </rPh>
    <rPh sb="19" eb="20">
      <t>チョウ</t>
    </rPh>
    <rPh sb="21" eb="23">
      <t>イッチ</t>
    </rPh>
    <rPh sb="25" eb="27">
      <t>ヒツヨウ</t>
    </rPh>
    <phoneticPr fontId="4"/>
  </si>
  <si>
    <t>氏名の代わりに、『社員コード』、『メールアドレス』を記入することも可能です。</t>
    <rPh sb="0" eb="2">
      <t>シメイ</t>
    </rPh>
    <rPh sb="3" eb="4">
      <t>カ</t>
    </rPh>
    <rPh sb="9" eb="11">
      <t>シャイン</t>
    </rPh>
    <rPh sb="26" eb="28">
      <t>キニュウ</t>
    </rPh>
    <rPh sb="33" eb="35">
      <t>カノウ</t>
    </rPh>
    <phoneticPr fontId="4"/>
  </si>
  <si>
    <t>項目名ならびに入力内容には下記が必須です。</t>
    <rPh sb="0" eb="2">
      <t>コウモク</t>
    </rPh>
    <rPh sb="2" eb="3">
      <t>メイ</t>
    </rPh>
    <rPh sb="7" eb="9">
      <t>ニュウリョク</t>
    </rPh>
    <rPh sb="9" eb="11">
      <t>ナイヨウ</t>
    </rPh>
    <rPh sb="13" eb="15">
      <t>カキ</t>
    </rPh>
    <rPh sb="16" eb="18">
      <t>ヒッス</t>
    </rPh>
    <phoneticPr fontId="4"/>
  </si>
  <si>
    <t>NotesLink</t>
    <phoneticPr fontId="4"/>
  </si>
  <si>
    <t>・</t>
    <phoneticPr fontId="4"/>
  </si>
  <si>
    <t>入力漏れがある場合、該当データ行は処理をせずにSkipします。</t>
    <rPh sb="0" eb="2">
      <t>ニュウリョク</t>
    </rPh>
    <rPh sb="2" eb="3">
      <t>モ</t>
    </rPh>
    <rPh sb="7" eb="9">
      <t>バアイ</t>
    </rPh>
    <rPh sb="10" eb="12">
      <t>ガイトウ</t>
    </rPh>
    <rPh sb="15" eb="16">
      <t>ギョウ</t>
    </rPh>
    <rPh sb="17" eb="19">
      <t>ショリ</t>
    </rPh>
    <phoneticPr fontId="4"/>
  </si>
  <si>
    <t>メンテナンス</t>
    <phoneticPr fontId="4"/>
  </si>
  <si>
    <t>↓数式入ってます。</t>
    <rPh sb="1" eb="3">
      <t>スウシキ</t>
    </rPh>
    <rPh sb="3" eb="4">
      <t>ハイ</t>
    </rPh>
    <phoneticPr fontId="4"/>
  </si>
  <si>
    <t>店舗を追加する場合、行挿入後、A列に上下どちらかのセルの数式をコピーしてください。</t>
    <rPh sb="0" eb="2">
      <t>テンポ</t>
    </rPh>
    <rPh sb="3" eb="5">
      <t>ツイカ</t>
    </rPh>
    <rPh sb="7" eb="9">
      <t>バアイ</t>
    </rPh>
    <rPh sb="10" eb="11">
      <t>ギョウ</t>
    </rPh>
    <rPh sb="11" eb="13">
      <t>ソウニュウ</t>
    </rPh>
    <rPh sb="13" eb="14">
      <t>ゴ</t>
    </rPh>
    <rPh sb="16" eb="17">
      <t>レツ</t>
    </rPh>
    <rPh sb="18" eb="20">
      <t>ジョウゲ</t>
    </rPh>
    <rPh sb="28" eb="30">
      <t>スウシキ</t>
    </rPh>
    <phoneticPr fontId="4"/>
  </si>
  <si>
    <t>I列にチェックボックスをコピーして、追加したチェックボックスの設定を変更してください。</t>
    <rPh sb="1" eb="2">
      <t>レツ</t>
    </rPh>
    <rPh sb="18" eb="20">
      <t>ツイカ</t>
    </rPh>
    <rPh sb="31" eb="33">
      <t>セッテイ</t>
    </rPh>
    <rPh sb="34" eb="36">
      <t>ヘンコウ</t>
    </rPh>
    <phoneticPr fontId="4"/>
  </si>
  <si>
    <t>①追加したチェックボックスを右クリックして『コントロールの書式設定』</t>
    <rPh sb="1" eb="3">
      <t>ツイカ</t>
    </rPh>
    <rPh sb="14" eb="15">
      <t>ミギ</t>
    </rPh>
    <rPh sb="29" eb="31">
      <t>ショシキ</t>
    </rPh>
    <rPh sb="31" eb="33">
      <t>セッテイ</t>
    </rPh>
    <phoneticPr fontId="4"/>
  </si>
  <si>
    <t>②『リンクするセル』を追加した行のI列に設定する。</t>
    <rPh sb="11" eb="13">
      <t>ツイカ</t>
    </rPh>
    <rPh sb="15" eb="16">
      <t>ギョウ</t>
    </rPh>
    <rPh sb="18" eb="19">
      <t>レツ</t>
    </rPh>
    <rPh sb="20" eb="22">
      <t>セッテイ</t>
    </rPh>
    <phoneticPr fontId="4"/>
  </si>
  <si>
    <t>1）</t>
    <phoneticPr fontId="4"/>
  </si>
  <si>
    <t>2）</t>
    <phoneticPr fontId="4"/>
  </si>
  <si>
    <t>規定のCCをL列に指定</t>
    <rPh sb="0" eb="2">
      <t>キテイ</t>
    </rPh>
    <rPh sb="7" eb="8">
      <t>レツ</t>
    </rPh>
    <rPh sb="9" eb="11">
      <t>シテイ</t>
    </rPh>
    <phoneticPr fontId="4"/>
  </si>
  <si>
    <t>■宛先リストへの店舗追加</t>
    <rPh sb="1" eb="3">
      <t>アテサキ</t>
    </rPh>
    <rPh sb="8" eb="10">
      <t>テンポ</t>
    </rPh>
    <rPh sb="10" eb="12">
      <t>ツイカ</t>
    </rPh>
    <phoneticPr fontId="4"/>
  </si>
  <si>
    <t>■解約完了メールテンプレート変更</t>
    <rPh sb="1" eb="3">
      <t>カイヤク</t>
    </rPh>
    <rPh sb="3" eb="5">
      <t>カンリョウ</t>
    </rPh>
    <rPh sb="14" eb="16">
      <t>ヘンコウ</t>
    </rPh>
    <phoneticPr fontId="4"/>
  </si>
  <si>
    <r>
      <t>※列位置の変更には</t>
    </r>
    <r>
      <rPr>
        <b/>
        <u/>
        <sz val="11"/>
        <rFont val="ＭＳ Ｐゴシック"/>
        <family val="3"/>
        <charset val="128"/>
      </rPr>
      <t>対応していません。</t>
    </r>
    <rPh sb="1" eb="2">
      <t>レツ</t>
    </rPh>
    <rPh sb="2" eb="4">
      <t>イチ</t>
    </rPh>
    <rPh sb="5" eb="7">
      <t>ヘンコウ</t>
    </rPh>
    <rPh sb="9" eb="11">
      <t>タイオウ</t>
    </rPh>
    <phoneticPr fontId="4"/>
  </si>
  <si>
    <t>本文、署名の行数変更は自由に変更可能です。</t>
    <rPh sb="0" eb="2">
      <t>ホンブン</t>
    </rPh>
    <rPh sb="3" eb="5">
      <t>ショメイ</t>
    </rPh>
    <rPh sb="6" eb="8">
      <t>ギョウスウ</t>
    </rPh>
    <rPh sb="8" eb="10">
      <t>ヘンコウ</t>
    </rPh>
    <rPh sb="11" eb="13">
      <t>ジユウ</t>
    </rPh>
    <rPh sb="14" eb="16">
      <t>ヘンコウ</t>
    </rPh>
    <rPh sb="16" eb="18">
      <t>カノウ</t>
    </rPh>
    <phoneticPr fontId="4"/>
  </si>
  <si>
    <t>件名：「C2」セル　＆　「お客様名」をメール件名にします。</t>
    <rPh sb="0" eb="2">
      <t>ケンメイ</t>
    </rPh>
    <rPh sb="14" eb="16">
      <t>キャクサマ</t>
    </rPh>
    <rPh sb="16" eb="17">
      <t>メイ</t>
    </rPh>
    <rPh sb="22" eb="24">
      <t>ケンメイ</t>
    </rPh>
    <phoneticPr fontId="4"/>
  </si>
  <si>
    <t>件名の冒頭は「C2」セルの内容を変更すれば、適用されます。</t>
    <rPh sb="0" eb="2">
      <t>ケンメイ</t>
    </rPh>
    <rPh sb="3" eb="5">
      <t>ボウトウ</t>
    </rPh>
    <rPh sb="13" eb="15">
      <t>ナイヨウ</t>
    </rPh>
    <rPh sb="16" eb="18">
      <t>ヘンコウ</t>
    </rPh>
    <rPh sb="22" eb="24">
      <t>テキヨウ</t>
    </rPh>
    <phoneticPr fontId="4"/>
  </si>
  <si>
    <t>本文：「C5」セル以下の文字を繋げて、本文を生成します。</t>
    <rPh sb="0" eb="2">
      <t>ホンブン</t>
    </rPh>
    <rPh sb="9" eb="11">
      <t>イカ</t>
    </rPh>
    <rPh sb="12" eb="14">
      <t>モジ</t>
    </rPh>
    <rPh sb="15" eb="16">
      <t>ツナ</t>
    </rPh>
    <rPh sb="19" eb="21">
      <t>ホンブン</t>
    </rPh>
    <rPh sb="22" eb="24">
      <t>セイセイ</t>
    </rPh>
    <phoneticPr fontId="4"/>
  </si>
  <si>
    <t>空白行は、そのまま改行として扱います。</t>
    <rPh sb="0" eb="2">
      <t>クウハク</t>
    </rPh>
    <rPh sb="2" eb="3">
      <t>ギョウ</t>
    </rPh>
    <rPh sb="9" eb="11">
      <t>カイギョウ</t>
    </rPh>
    <rPh sb="14" eb="15">
      <t>アツカ</t>
    </rPh>
    <phoneticPr fontId="4"/>
  </si>
  <si>
    <t>署名：上述同様で、セル位置が違うだけです。</t>
    <rPh sb="0" eb="2">
      <t>ショメイ</t>
    </rPh>
    <rPh sb="3" eb="5">
      <t>ジョウジュツ</t>
    </rPh>
    <rPh sb="5" eb="7">
      <t>ドウヨウ</t>
    </rPh>
    <rPh sb="11" eb="13">
      <t>イチ</t>
    </rPh>
    <rPh sb="14" eb="15">
      <t>チガ</t>
    </rPh>
    <phoneticPr fontId="4"/>
  </si>
  <si>
    <t>規定CC：L列に記入することで共通CCとします。</t>
    <rPh sb="0" eb="2">
      <t>キテイ</t>
    </rPh>
    <rPh sb="6" eb="7">
      <t>レツ</t>
    </rPh>
    <rPh sb="8" eb="10">
      <t>キニュウ</t>
    </rPh>
    <rPh sb="15" eb="17">
      <t>キョウツウ</t>
    </rPh>
    <phoneticPr fontId="4"/>
  </si>
  <si>
    <t>※mail作成結果列は自動作成されます。</t>
    <rPh sb="5" eb="7">
      <t>サクセイ</t>
    </rPh>
    <rPh sb="7" eb="9">
      <t>ケッカ</t>
    </rPh>
    <rPh sb="9" eb="10">
      <t>レツ</t>
    </rPh>
    <rPh sb="11" eb="13">
      <t>ジドウ</t>
    </rPh>
    <rPh sb="13" eb="15">
      <t>サクセイ</t>
    </rPh>
    <phoneticPr fontId="4"/>
  </si>
  <si>
    <r>
      <rPr>
        <b/>
        <u/>
        <sz val="11"/>
        <rFont val="ＭＳ Ｐゴシック"/>
        <family val="3"/>
        <charset val="128"/>
      </rPr>
      <t>3行目</t>
    </r>
    <r>
      <rPr>
        <sz val="11"/>
        <rFont val="ＭＳ Ｐゴシック"/>
        <family val="3"/>
        <charset val="128"/>
      </rPr>
      <t>にリストの項目行が必要です。</t>
    </r>
    <rPh sb="1" eb="3">
      <t>ギョウメ</t>
    </rPh>
    <rPh sb="8" eb="10">
      <t>コウモク</t>
    </rPh>
    <rPh sb="10" eb="11">
      <t>ギョウ</t>
    </rPh>
    <rPh sb="12" eb="14">
      <t>ヒツヨウ</t>
    </rPh>
    <phoneticPr fontId="4"/>
  </si>
  <si>
    <t>盛岡ＣＳ</t>
  </si>
  <si>
    <t>郡山ＣＳ</t>
  </si>
  <si>
    <t>水戸ＣＳ</t>
  </si>
  <si>
    <t>北関東第１ＣＳ</t>
  </si>
  <si>
    <t>北関東第２ＣＳ</t>
  </si>
  <si>
    <t>北関東第３ＣＳ</t>
  </si>
  <si>
    <t>群馬ＣＳ</t>
  </si>
  <si>
    <t>新潟ＣＳ</t>
  </si>
  <si>
    <t>横浜第１ＣＳ</t>
  </si>
  <si>
    <t>横浜第２ＣＳ</t>
  </si>
  <si>
    <t>富士ＣＳ</t>
  </si>
  <si>
    <t>厚木ＣＳ</t>
  </si>
  <si>
    <t>相模原ＣＳ</t>
  </si>
  <si>
    <t>山梨ＣＳ</t>
  </si>
  <si>
    <t>東京第１ＣＳ</t>
  </si>
  <si>
    <t>東京第２ＣＳ</t>
  </si>
  <si>
    <t>多摩ＣＳ</t>
  </si>
  <si>
    <t>成田ＣＳ</t>
  </si>
  <si>
    <t>札幌ＣＳ</t>
  </si>
  <si>
    <t>中部第１ＣＳ</t>
  </si>
  <si>
    <t>中部第２ＣＳ</t>
  </si>
  <si>
    <t>松本ＣＳ</t>
  </si>
  <si>
    <t>岡崎ＣＳ</t>
  </si>
  <si>
    <t>北陸ＣＳ</t>
  </si>
  <si>
    <t>富山ＣＳ</t>
  </si>
  <si>
    <t>豊橋ＣＳ</t>
  </si>
  <si>
    <t>袋井ＣＳ</t>
  </si>
  <si>
    <t>静岡ＣＳ</t>
  </si>
  <si>
    <t>大阪第１ＣＳ</t>
  </si>
  <si>
    <t>大阪第２ＣＳ</t>
  </si>
  <si>
    <t>神戸第１ＣＳ</t>
  </si>
  <si>
    <t>神戸第２ＣＳ</t>
  </si>
  <si>
    <t>姫路ＣＳ</t>
  </si>
  <si>
    <t>津山ＣＳ</t>
  </si>
  <si>
    <t>水島ＣＳ</t>
  </si>
  <si>
    <t>高松ＣＳ</t>
  </si>
  <si>
    <t>松山ＣＳ</t>
  </si>
  <si>
    <t>広島ＣＳ</t>
  </si>
  <si>
    <t>尾道ＣＳ</t>
  </si>
  <si>
    <t>山陰ＣＳ</t>
  </si>
  <si>
    <t>山口ＣＳ</t>
  </si>
  <si>
    <t>北九州ＣＳ</t>
  </si>
  <si>
    <t>熊本ＣＳ</t>
  </si>
  <si>
    <t>南九州ＣＳ</t>
  </si>
  <si>
    <t>宮崎ＣＳ</t>
  </si>
  <si>
    <t>mail作成結果</t>
  </si>
  <si>
    <t>misa_komori@ha.daifuku.co.jp</t>
    <phoneticPr fontId="4"/>
  </si>
  <si>
    <t>【解約手続完了報告】：</t>
    <phoneticPr fontId="4"/>
  </si>
  <si>
    <t>hiromi_higashizawa.da2@ha.daifuku.co.jp</t>
    <phoneticPr fontId="4"/>
  </si>
  <si>
    <t>早川 直希</t>
  </si>
  <si>
    <t>谷地 照子</t>
  </si>
  <si>
    <t>佐藤 加代</t>
  </si>
  <si>
    <t>大河内 勇</t>
  </si>
  <si>
    <t>小野寺 翔太</t>
  </si>
  <si>
    <t>小原 美希</t>
  </si>
  <si>
    <t>栃木第１ＣＳ</t>
  </si>
  <si>
    <t>端 泰志</t>
  </si>
  <si>
    <t>櫻井 歩</t>
  </si>
  <si>
    <t>新井 英代</t>
  </si>
  <si>
    <t>栃木第２ＣＳ</t>
  </si>
  <si>
    <t>松永 元気</t>
  </si>
  <si>
    <t>梁取 優貴</t>
  </si>
  <si>
    <t>津久井 直樹</t>
  </si>
  <si>
    <t>須田 幸造</t>
  </si>
  <si>
    <t>高梨 とく江</t>
  </si>
  <si>
    <t>村上 真一</t>
  </si>
  <si>
    <t>前田 朋子</t>
  </si>
  <si>
    <t>西田 航</t>
  </si>
  <si>
    <t>増渕 博巳</t>
  </si>
  <si>
    <t>下山 司</t>
  </si>
  <si>
    <t>大谷 真人</t>
  </si>
  <si>
    <t>曽我部 寛之</t>
  </si>
  <si>
    <t>冨永 清美</t>
  </si>
  <si>
    <t>村田 昌也</t>
  </si>
  <si>
    <t>北川 宜継</t>
  </si>
  <si>
    <t>大浦 奈緒</t>
  </si>
  <si>
    <t>豊田 航平</t>
  </si>
  <si>
    <t>古谷野 卓弥</t>
  </si>
  <si>
    <t>新井 智子</t>
  </si>
  <si>
    <t>須野原 淨恵</t>
  </si>
  <si>
    <t>小亦 志興</t>
  </si>
  <si>
    <t>山内 光夫</t>
  </si>
  <si>
    <t>北詰 由紀子</t>
  </si>
  <si>
    <t>西谷 雅士</t>
  </si>
  <si>
    <t>黒羽 由美</t>
  </si>
  <si>
    <t>森武 光平</t>
  </si>
  <si>
    <t>鍵本 和幸</t>
  </si>
  <si>
    <t>大朝 洋平</t>
  </si>
  <si>
    <t>横田 暁</t>
  </si>
  <si>
    <t>菊田 紀子</t>
  </si>
  <si>
    <t>小堀 隆朗</t>
  </si>
  <si>
    <t>鈴木 裕美</t>
  </si>
  <si>
    <t>浅川 宜隆</t>
  </si>
  <si>
    <t>木村 光</t>
  </si>
  <si>
    <t>清水 珠美</t>
  </si>
  <si>
    <t>大矢 恭平</t>
  </si>
  <si>
    <t>田代 圭子</t>
  </si>
  <si>
    <t>丹下 将成</t>
  </si>
  <si>
    <t>伊藤 彩子</t>
  </si>
  <si>
    <t>島田 理基</t>
  </si>
  <si>
    <t>稲山 裕樹</t>
  </si>
  <si>
    <t>青沼 麻智子</t>
  </si>
  <si>
    <t>東京第３ＣＳ</t>
  </si>
  <si>
    <t>稲葉 隼人</t>
  </si>
  <si>
    <t>千葉第１ＣＳ</t>
  </si>
  <si>
    <t>高木 佑輔</t>
  </si>
  <si>
    <t>古川 悠斗</t>
  </si>
  <si>
    <t>和泉 真由美</t>
  </si>
  <si>
    <t>千葉第２ＣＳ</t>
  </si>
  <si>
    <t>村田 正和</t>
  </si>
  <si>
    <t>山下 賢</t>
  </si>
  <si>
    <t>近藤 美樹子</t>
  </si>
  <si>
    <t>青木 あや子</t>
  </si>
  <si>
    <t>橋本 康平</t>
  </si>
  <si>
    <t>中野 祐一</t>
  </si>
  <si>
    <t>福岡 久美子</t>
  </si>
  <si>
    <t>秋田 峻</t>
  </si>
  <si>
    <t>大川 浄也</t>
  </si>
  <si>
    <t>三崎 敬祐</t>
  </si>
  <si>
    <t>大竹 友美</t>
  </si>
  <si>
    <t>志知 聖浩</t>
  </si>
  <si>
    <t>松井 翼</t>
  </si>
  <si>
    <t>塚本 里沙</t>
  </si>
  <si>
    <t>向川 英希</t>
  </si>
  <si>
    <t>村田 美紀</t>
  </si>
  <si>
    <t>永石 洋三</t>
  </si>
  <si>
    <t>石崎 竜次</t>
  </si>
  <si>
    <t>中川 美佐子</t>
  </si>
  <si>
    <t>高瀬 弓利子</t>
  </si>
  <si>
    <t>神細工 卓真</t>
  </si>
  <si>
    <t>田中 由美</t>
  </si>
  <si>
    <t>可児 正樹</t>
  </si>
  <si>
    <t>井口 亮</t>
  </si>
  <si>
    <t>相宮 健一</t>
  </si>
  <si>
    <t>山田 雅博</t>
  </si>
  <si>
    <t>芳澤 和子</t>
  </si>
  <si>
    <t>河南 基貴</t>
  </si>
  <si>
    <t>木下 勇生</t>
  </si>
  <si>
    <t>橋本 こずえ</t>
  </si>
  <si>
    <t>谷口 啓介</t>
  </si>
  <si>
    <t>西富 祐介</t>
  </si>
  <si>
    <t>中野 千恵美</t>
  </si>
  <si>
    <t>茨木第１ＣＳ</t>
  </si>
  <si>
    <t>横田 拓也</t>
  </si>
  <si>
    <t>水野 裕喜</t>
  </si>
  <si>
    <t>大廣 直子</t>
  </si>
  <si>
    <t>茨木第２ＣＳ</t>
  </si>
  <si>
    <t>中平 貴之</t>
  </si>
  <si>
    <t>山村 将之</t>
  </si>
  <si>
    <t>西村 智恵子</t>
  </si>
  <si>
    <t>今吉 貴亮</t>
  </si>
  <si>
    <t>馬場 大輔</t>
  </si>
  <si>
    <t>上原 勝</t>
  </si>
  <si>
    <t>吉川 侑吾</t>
  </si>
  <si>
    <t>足立 優子</t>
  </si>
  <si>
    <t>小田 龍也</t>
  </si>
  <si>
    <t>溝畑 宏隆</t>
  </si>
  <si>
    <t>石井 博基</t>
  </si>
  <si>
    <t>米田 泰隆</t>
  </si>
  <si>
    <t>森本 和希</t>
  </si>
  <si>
    <t>松井 やよい</t>
  </si>
  <si>
    <t>土岐 典大</t>
  </si>
  <si>
    <t>金海 澪</t>
  </si>
  <si>
    <t>石原 玲子</t>
  </si>
  <si>
    <t>南 健一朗</t>
  </si>
  <si>
    <t>藤澤 良則</t>
  </si>
  <si>
    <t>佐藤 雄一</t>
  </si>
  <si>
    <t>広瀬 敦憲</t>
  </si>
  <si>
    <t>藤井 好美</t>
  </si>
  <si>
    <t>堂尾 和慶</t>
  </si>
  <si>
    <t>三谷 和彦</t>
  </si>
  <si>
    <t>田代 真也</t>
  </si>
  <si>
    <t>河邉 さおり</t>
  </si>
  <si>
    <t>細田 和裕</t>
  </si>
  <si>
    <t>菅野 紋子</t>
  </si>
  <si>
    <t>大越 卓也</t>
  </si>
  <si>
    <t>向畑 拓郎</t>
  </si>
  <si>
    <t>羽渕 和志</t>
  </si>
  <si>
    <t>田中 法恵</t>
  </si>
  <si>
    <t>高原 千恵</t>
  </si>
  <si>
    <t>新宮 ひとみ</t>
  </si>
  <si>
    <t>小屋迫 勝彦</t>
  </si>
  <si>
    <t>縄田 菖樹</t>
  </si>
  <si>
    <t>田中 由香里</t>
  </si>
  <si>
    <t>吉田 憲博</t>
  </si>
  <si>
    <t>清水 富美子</t>
  </si>
  <si>
    <t>小嶋 翔</t>
  </si>
  <si>
    <t>小野 幸子</t>
  </si>
  <si>
    <t>中部第３ＣＳ</t>
  </si>
  <si>
    <t>宛先2</t>
    <rPh sb="0" eb="2">
      <t>アテサキ</t>
    </rPh>
    <phoneticPr fontId="2"/>
  </si>
  <si>
    <t>宛先3</t>
    <rPh sb="0" eb="2">
      <t>アテサキ</t>
    </rPh>
    <phoneticPr fontId="2"/>
  </si>
  <si>
    <t>宛先4</t>
    <rPh sb="0" eb="2">
      <t>アテサキ</t>
    </rPh>
    <phoneticPr fontId="2"/>
  </si>
  <si>
    <t>宛先5</t>
    <rPh sb="0" eb="2">
      <t>アテサキ</t>
    </rPh>
    <phoneticPr fontId="2"/>
  </si>
  <si>
    <t>店舗長</t>
    <rPh sb="0" eb="2">
      <t>テンポ</t>
    </rPh>
    <rPh sb="2" eb="3">
      <t>チョウ</t>
    </rPh>
    <phoneticPr fontId="2"/>
  </si>
  <si>
    <t>菊田 武伸</t>
  </si>
  <si>
    <t>今井 与志子</t>
  </si>
  <si>
    <t>鶴身 征也</t>
  </si>
  <si>
    <t>いつもお世話になっております。</t>
    <phoneticPr fontId="4"/>
  </si>
  <si>
    <t>よろしくお願いいたします。</t>
    <phoneticPr fontId="4"/>
  </si>
  <si>
    <t>8H</t>
  </si>
  <si>
    <t>三宅 麻以</t>
  </si>
  <si>
    <t>福原 優子</t>
  </si>
  <si>
    <t>浅野 愛美</t>
  </si>
  <si>
    <t>佐藤 千恵</t>
  </si>
  <si>
    <t>小林 麻由美</t>
  </si>
  <si>
    <t>仙台ＣＳ</t>
    <rPh sb="0" eb="2">
      <t>センダイ</t>
    </rPh>
    <phoneticPr fontId="23"/>
  </si>
  <si>
    <t>流山第１ＣＳ</t>
  </si>
  <si>
    <t>流山第２ＣＳ</t>
  </si>
  <si>
    <t>三重第１ＣＳ</t>
  </si>
  <si>
    <t>三重第２ＣＳ</t>
  </si>
  <si>
    <t>北大阪第１ＣＳ</t>
  </si>
  <si>
    <t>北大阪第２ＣＳ</t>
  </si>
  <si>
    <t>徳島ＣＳ</t>
  </si>
  <si>
    <t>＿＿＿＿＿＿＿＿＿＿＿＿＿＿＿＿＿＿＿＿＿＿</t>
    <phoneticPr fontId="4"/>
  </si>
  <si>
    <t>￣￣￣￣￣￣￣￣￣￣￣￣￣￣￣￣￣￣￣￣￣￣</t>
    <phoneticPr fontId="4"/>
  </si>
  <si>
    <t>阿波 千絵</t>
  </si>
  <si>
    <t>太田 麻美</t>
  </si>
  <si>
    <t>小林 徹也</t>
  </si>
  <si>
    <t>岡野 淳</t>
  </si>
  <si>
    <t>仙台ＣＳ</t>
  </si>
  <si>
    <t>幸手ＣＳ</t>
  </si>
  <si>
    <t>草加第１ＣＳ</t>
  </si>
  <si>
    <t>草加第２ＣＳ</t>
  </si>
  <si>
    <t>岐阜ＣＳ</t>
  </si>
  <si>
    <t>神戸第３ＣＳ</t>
  </si>
  <si>
    <t>西脇ＣＳ</t>
  </si>
  <si>
    <t>鳥栖ＣＳ</t>
  </si>
  <si>
    <t>福岡ＣＳ</t>
  </si>
  <si>
    <t>CS</t>
    <phoneticPr fontId="4"/>
  </si>
  <si>
    <t>所長</t>
    <rPh sb="0" eb="2">
      <t>ショチョウ</t>
    </rPh>
    <phoneticPr fontId="4"/>
  </si>
  <si>
    <t>旧店舗</t>
    <rPh sb="0" eb="1">
      <t>キュウ</t>
    </rPh>
    <rPh sb="1" eb="3">
      <t>テンポ</t>
    </rPh>
    <phoneticPr fontId="4"/>
  </si>
  <si>
    <t>所長変更＝青字</t>
    <rPh sb="0" eb="2">
      <t>ショチョウ</t>
    </rPh>
    <rPh sb="2" eb="4">
      <t>ヘンコウ</t>
    </rPh>
    <rPh sb="5" eb="7">
      <t>アオジ</t>
    </rPh>
    <phoneticPr fontId="4"/>
  </si>
  <si>
    <t>（敬称略）</t>
    <rPh sb="1" eb="3">
      <t>ケイショウ</t>
    </rPh>
    <rPh sb="3" eb="4">
      <t>リャク</t>
    </rPh>
    <phoneticPr fontId="4"/>
  </si>
  <si>
    <t>店舗</t>
    <rPh sb="0" eb="2">
      <t>テンポ</t>
    </rPh>
    <phoneticPr fontId="30"/>
  </si>
  <si>
    <t>藤井 基晴</t>
    <phoneticPr fontId="4"/>
  </si>
  <si>
    <t>TEL：080-1258-0348</t>
    <phoneticPr fontId="4"/>
  </si>
  <si>
    <t>　　　 山本　美由紀</t>
    <phoneticPr fontId="4"/>
  </si>
  <si>
    <t>浅野 喬行</t>
    <phoneticPr fontId="4"/>
  </si>
  <si>
    <t>東北</t>
    <rPh sb="0" eb="2">
      <t>トウホク</t>
    </rPh>
    <phoneticPr fontId="4"/>
  </si>
  <si>
    <t>東部</t>
    <rPh sb="0" eb="2">
      <t>トウブ</t>
    </rPh>
    <phoneticPr fontId="4"/>
  </si>
  <si>
    <t>首都圏</t>
    <rPh sb="0" eb="3">
      <t>シュトケン</t>
    </rPh>
    <phoneticPr fontId="4"/>
  </si>
  <si>
    <t>西関東</t>
    <rPh sb="0" eb="1">
      <t>ニシ</t>
    </rPh>
    <rPh sb="1" eb="3">
      <t>カントウ</t>
    </rPh>
    <phoneticPr fontId="4"/>
  </si>
  <si>
    <t>中部</t>
    <rPh sb="0" eb="2">
      <t>チュウブ</t>
    </rPh>
    <phoneticPr fontId="4"/>
  </si>
  <si>
    <t>大阪</t>
    <rPh sb="0" eb="2">
      <t>オオサカ</t>
    </rPh>
    <phoneticPr fontId="4"/>
  </si>
  <si>
    <t>関西</t>
    <rPh sb="0" eb="2">
      <t>カンサイ</t>
    </rPh>
    <phoneticPr fontId="4"/>
  </si>
  <si>
    <t>西部</t>
    <rPh sb="0" eb="2">
      <t>セイブ</t>
    </rPh>
    <phoneticPr fontId="4"/>
  </si>
  <si>
    <t>つくば第１ＣＳ</t>
    <rPh sb="3" eb="4">
      <t>ダイ</t>
    </rPh>
    <phoneticPr fontId="4"/>
  </si>
  <si>
    <t>つくば第２ＣＳ</t>
    <rPh sb="3" eb="4">
      <t>ダイ</t>
    </rPh>
    <phoneticPr fontId="4"/>
  </si>
  <si>
    <t>川越ＣＳ</t>
    <rPh sb="0" eb="2">
      <t>カワゴエ</t>
    </rPh>
    <phoneticPr fontId="4"/>
  </si>
  <si>
    <t>久喜ＣＳ</t>
    <rPh sb="0" eb="2">
      <t>クキ</t>
    </rPh>
    <phoneticPr fontId="4"/>
  </si>
  <si>
    <t>市川第２ＣＳ</t>
  </si>
  <si>
    <t>南名古屋第１ＣＳ</t>
    <rPh sb="4" eb="5">
      <t>ダイ</t>
    </rPh>
    <phoneticPr fontId="4"/>
  </si>
  <si>
    <t>南名古屋第２ＣＳ</t>
    <rPh sb="4" eb="5">
      <t>ダイ</t>
    </rPh>
    <phoneticPr fontId="4"/>
  </si>
  <si>
    <t>南大阪ＣＳ</t>
    <rPh sb="0" eb="1">
      <t>ミナミ</t>
    </rPh>
    <rPh sb="1" eb="3">
      <t>オオサカ</t>
    </rPh>
    <phoneticPr fontId="4"/>
  </si>
  <si>
    <t>奈良ＣＳ</t>
    <rPh sb="0" eb="2">
      <t>ナラ</t>
    </rPh>
    <phoneticPr fontId="4"/>
  </si>
  <si>
    <t>滋賀第１ＣＳ</t>
    <rPh sb="2" eb="3">
      <t>ダイ</t>
    </rPh>
    <phoneticPr fontId="4"/>
  </si>
  <si>
    <t>滋賀第２ＣＳ</t>
  </si>
  <si>
    <t>太田 雅博</t>
    <phoneticPr fontId="4"/>
  </si>
  <si>
    <t>重村 和矢</t>
    <phoneticPr fontId="4"/>
  </si>
  <si>
    <t>河合 宏昌</t>
    <phoneticPr fontId="4"/>
  </si>
  <si>
    <t>山下 圭祐</t>
    <phoneticPr fontId="4"/>
  </si>
  <si>
    <t>藤川 真由子</t>
    <phoneticPr fontId="4"/>
  </si>
  <si>
    <t>志村 航平</t>
    <phoneticPr fontId="4"/>
  </si>
  <si>
    <t>森 俊輔</t>
    <phoneticPr fontId="4"/>
  </si>
  <si>
    <t>リンクがハイパーリンクになるように注意！F２+ENTER</t>
    <rPh sb="17" eb="19">
      <t>チュウイ</t>
    </rPh>
    <phoneticPr fontId="0"/>
  </si>
  <si>
    <t>福井 美帆</t>
  </si>
  <si>
    <t>24H</t>
  </si>
  <si>
    <t>㈱光アルファクス</t>
  </si>
  <si>
    <t>萩原テクノソリューションズ㈱</t>
  </si>
  <si>
    <t>㈱瑞穂</t>
  </si>
  <si>
    <t>←　「はい」で保存すること</t>
    <rPh sb="7" eb="9">
      <t>ホゾン</t>
    </rPh>
    <phoneticPr fontId="0"/>
  </si>
  <si>
    <t>神戸2：藤井さん削除</t>
    <rPh sb="0" eb="2">
      <t>コウベ</t>
    </rPh>
    <rPh sb="4" eb="6">
      <t>フジイ</t>
    </rPh>
    <rPh sb="8" eb="10">
      <t>サクジョ</t>
    </rPh>
    <phoneticPr fontId="4"/>
  </si>
  <si>
    <t>千葉2：小俣さん追加</t>
    <rPh sb="0" eb="2">
      <t>チバ</t>
    </rPh>
    <rPh sb="4" eb="6">
      <t>オマタ</t>
    </rPh>
    <rPh sb="8" eb="10">
      <t>ツイカ</t>
    </rPh>
    <phoneticPr fontId="4"/>
  </si>
  <si>
    <t>つくば2：青柳さん追加</t>
    <rPh sb="5" eb="7">
      <t>アオヤギ</t>
    </rPh>
    <rPh sb="9" eb="11">
      <t>ツイカ</t>
    </rPh>
    <phoneticPr fontId="4"/>
  </si>
  <si>
    <t>帯広ＣＳ</t>
  </si>
  <si>
    <t>鴻巣第1ＣＳ</t>
  </si>
  <si>
    <t>鴻巣第2ＣＳ</t>
  </si>
  <si>
    <t>熊谷ＣＳ</t>
  </si>
  <si>
    <t>110期所長</t>
    <rPh sb="4" eb="6">
      <t>ショチョウ</t>
    </rPh>
    <phoneticPr fontId="4"/>
  </si>
  <si>
    <t>111期メール送付先</t>
    <rPh sb="3" eb="4">
      <t>キ</t>
    </rPh>
    <rPh sb="7" eb="10">
      <t>ソウフサキ</t>
    </rPh>
    <phoneticPr fontId="4"/>
  </si>
  <si>
    <t>所属名</t>
  </si>
  <si>
    <t>氏名コード</t>
  </si>
  <si>
    <t>E-mail</t>
  </si>
  <si>
    <t>役職名</t>
  </si>
  <si>
    <t>-</t>
  </si>
  <si>
    <t>部長</t>
  </si>
  <si>
    <t>グループ長</t>
  </si>
  <si>
    <t>リーダー</t>
  </si>
  <si>
    <t>チーム長</t>
  </si>
  <si>
    <t>ＩＬ工事Ｓ　東北サービス部</t>
  </si>
  <si>
    <t>ＩＬ工事Ｓ　東北サービス部（栃木）</t>
  </si>
  <si>
    <t>ＩＬ工事Ｓ　東北　東北支店</t>
  </si>
  <si>
    <t>支店長</t>
  </si>
  <si>
    <t>ＩＬ工事Ｓ　東北　東北支店　仙台ＣＳ</t>
  </si>
  <si>
    <t>所長</t>
  </si>
  <si>
    <t>ＩＬ工事Ｓ　東北　東北支店　盛岡ＣＳ</t>
  </si>
  <si>
    <t>所長（係長・リーダー）</t>
  </si>
  <si>
    <t>ＩＬ工事Ｓ　東北　東北支店　新潟ＣＳ</t>
  </si>
  <si>
    <t>ＩＬ工事Ｓ　東北　札幌支店</t>
  </si>
  <si>
    <t>ＩＬ工事Ｓ　東北　札幌支店　札幌ＣＳ</t>
  </si>
  <si>
    <t>ＩＬ工事Ｓ　東北　札幌支店　帯広ＣＳ</t>
  </si>
  <si>
    <t>ＩＬ工事Ｓ　東北　栃木支店</t>
  </si>
  <si>
    <t>ＩＬ工事Ｓ　東北　栃木支店　栃木第１ＣＳ</t>
  </si>
  <si>
    <t>ＩＬ工事Ｓ　東北　栃木支店　栃木第２ＣＳ</t>
  </si>
  <si>
    <t>ＩＬ工事Ｓ　東北　栃木支店　郡山ＣＳ</t>
  </si>
  <si>
    <t>ＩＬ工事Ｓ　北関東サービス部</t>
  </si>
  <si>
    <t>ＩＬ工事Ｓ　北関東　北関東支店</t>
  </si>
  <si>
    <t>ＩＬ工事Ｓ　北関東　北関東　鴻巣第１ＣＳ</t>
  </si>
  <si>
    <t>ＩＬ工事Ｓ　北関東　北関東　鴻巣第２ＣＳ</t>
  </si>
  <si>
    <t>ＩＬ工事Ｓ　北関東　北関東　熊谷ＣＳ</t>
  </si>
  <si>
    <t>ＩＬ工事Ｓ　北関東　北関東　群馬ＣＳ</t>
  </si>
  <si>
    <t>ＩＬ工事Ｓ　北関東　川越支店</t>
  </si>
  <si>
    <t>ＩＬ工事Ｓ　北関東　川越　川越ＣＳ</t>
  </si>
  <si>
    <t>ＩＬ工事Ｓ　北関東　川越　久喜ＣＳ</t>
  </si>
  <si>
    <t>ＩＬ工事Ｓ　東部サービス部</t>
  </si>
  <si>
    <t>ＩＬ工事Ｓ　東部サービス部（草加）</t>
  </si>
  <si>
    <t>ＩＬ工事Ｓ　東部　流山支店</t>
  </si>
  <si>
    <t>ＩＬ工事Ｓ　東部　流山　流山第１ＣＳ</t>
  </si>
  <si>
    <t>ＩＬ工事Ｓ　東部　流山　流山第２ＣＳ</t>
  </si>
  <si>
    <t>ＩＬ工事Ｓ　東部　流山　野田ＣＳ</t>
  </si>
  <si>
    <t>ＩＬ工事Ｓ　東部　つくば支店</t>
  </si>
  <si>
    <t>ＩＬ工事Ｓ　東部　つくば　つくば第１ＣＳ</t>
  </si>
  <si>
    <t>ＩＬ工事Ｓ　東部　つくば　つくば第２ＣＳ</t>
  </si>
  <si>
    <t>ＩＬ工事Ｓ　東部　つくば　水戸ＣＳ</t>
  </si>
  <si>
    <t>ＩＬ工事Ｓ　東部　草加支店</t>
  </si>
  <si>
    <t>ＩＬ工事Ｓ　東部　草加　草加第１ＣＳ</t>
  </si>
  <si>
    <t>ＩＬ工事Ｓ　東部　草加　草加第２ＣＳ</t>
  </si>
  <si>
    <t>ＩＬ工事Ｓ　首都圏サービス部</t>
  </si>
  <si>
    <t>ＩＬ工事Ｓ　首都圏　東京支店</t>
  </si>
  <si>
    <t>ＩＬ工事Ｓ　首都圏　東京　東京第１ＣＳ</t>
  </si>
  <si>
    <t>ＩＬ工事Ｓ　首都圏　東京　東京第２ＣＳ</t>
  </si>
  <si>
    <t>ＩＬ工事Ｓ　首都圏　東京　多摩ＣＳ</t>
  </si>
  <si>
    <t>ＩＬ工事Ｓ　首都圏　千葉支店</t>
  </si>
  <si>
    <t>ＩＬ工事Ｓ　首都圏　千葉　千葉第１ＣＳ</t>
  </si>
  <si>
    <t>ＩＬ工事Ｓ　首都圏　千葉　千葉第２ＣＳ</t>
  </si>
  <si>
    <t>ＩＬ工事Ｓ　首都圏　千葉　成田第１ＣＳ</t>
  </si>
  <si>
    <t>ＩＬ工事Ｓ　首都圏　千葉　成田第２ＣＳ</t>
  </si>
  <si>
    <t>ＩＬ工事Ｓ　首都圏　市川支店</t>
  </si>
  <si>
    <t>ＩＬ工事Ｓ　首都圏　市川　市川第１ＣＳ</t>
  </si>
  <si>
    <t>ＩＬ工事Ｓ　首都圏　市川　市川第２ＣＳ</t>
  </si>
  <si>
    <t>ＩＬ工事Ｓ　西関東サービス部</t>
  </si>
  <si>
    <t>ＩＬ工事Ｓ　西関東　横浜支店</t>
  </si>
  <si>
    <t>ＩＬ工事Ｓ　西関東　横浜　横浜第１ＣＳ</t>
  </si>
  <si>
    <t>ＩＬ工事Ｓ　西関東　横浜　横浜第２ＣＳ</t>
  </si>
  <si>
    <t>ＩＬ工事Ｓ　西関東　横浜　横浜第３ＣＳ</t>
  </si>
  <si>
    <t>ＩＬ工事Ｓ　西関東　厚木支店</t>
  </si>
  <si>
    <t>ＩＬ工事Ｓ　西関東　厚木　厚木第１ＣＳ</t>
  </si>
  <si>
    <t>ＩＬ工事Ｓ　西関東　厚木　厚木第２ＣＳ</t>
  </si>
  <si>
    <t>ＩＬ工事Ｓ　西関東　厚木　相模原ＣＳ</t>
  </si>
  <si>
    <t>ＩＬ工事Ｓ　西関東　厚木　山梨ＣＳ</t>
  </si>
  <si>
    <t>ＩＬ工事Ｓ　西関東　静岡支店</t>
  </si>
  <si>
    <t>ＩＬ工事Ｓ　西関東　静岡支店　静岡ＣＳ</t>
  </si>
  <si>
    <t>ＩＬ工事Ｓ　西関東　静岡支店　富士ＣＳ</t>
  </si>
  <si>
    <t>ＩＬ工事Ｓ　西関東　静岡支店　袋井ＣＳ</t>
  </si>
  <si>
    <t>ＩＬ工事Ｓ　中部サービス部</t>
  </si>
  <si>
    <t>ＩＬ工事Ｓ　中部　中部支店</t>
  </si>
  <si>
    <t>ＩＬ工事Ｓ　中部　中部支店　中部第１ＣＳ</t>
  </si>
  <si>
    <t>ＩＬ工事Ｓ　中部　中部支店　中部第２ＣＳ</t>
  </si>
  <si>
    <t>ＩＬ工事Ｓ　中部　中部支店　中部第３ＣＳ</t>
  </si>
  <si>
    <t>ＩＬ工事Ｓ　中部　中部支店　岐阜ＣＳ</t>
  </si>
  <si>
    <t>主席技師</t>
  </si>
  <si>
    <t>ＩＬ工事Ｓ　中部　東海支店</t>
  </si>
  <si>
    <t>ＩＬ工事Ｓ　中部　東海　岡崎ＣＳ</t>
  </si>
  <si>
    <t>ＩＬ工事Ｓ　中部　東海　豊橋ＣＳ</t>
  </si>
  <si>
    <t>ＩＬ工事Ｓ　中部　東海　南名古屋第１ＣＳ</t>
  </si>
  <si>
    <t>ＩＬ工事Ｓ　中部　東海　南名古屋第２ＣＳ</t>
  </si>
  <si>
    <t>ＩＬ工事Ｓ　中部　三重支店</t>
  </si>
  <si>
    <t>ＩＬ工事Ｓ　中部　三重支店　三重第１ＣＳ</t>
  </si>
  <si>
    <t>ＩＬ工事Ｓ　中部　三重支店　三重第２ＣＳ</t>
  </si>
  <si>
    <t>ＩＬ工事Ｓ　中部　北陸支店</t>
  </si>
  <si>
    <t>ＩＬ工事Ｓ　中部　北陸支店　富山ＣＳ</t>
  </si>
  <si>
    <t>ＩＬ工事Ｓ　中部　北陸支店　北陸ＣＳ</t>
  </si>
  <si>
    <t>ＩＬ工事Ｓ　中部　北陸支店　松本ＣＳ</t>
  </si>
  <si>
    <t>ＩＬ工事Ｓ　大阪サービス部</t>
  </si>
  <si>
    <t>ＩＬ工事Ｓ　大阪　大阪支店</t>
  </si>
  <si>
    <t>ＩＬ工事Ｓ　大阪　大阪支店　大阪第１ＣＳ</t>
  </si>
  <si>
    <t>ＩＬ工事Ｓ　大阪　大阪支店　大阪第２ＣＳ</t>
  </si>
  <si>
    <t>ＩＬ工事Ｓ　大阪　大阪支店　南大阪ＣＳ</t>
  </si>
  <si>
    <t>ＩＬ工事Ｓ　大阪　北大阪支店</t>
  </si>
  <si>
    <t>ＩＬ工事Ｓ　大阪　北大阪　北大阪第１ＣＳ</t>
  </si>
  <si>
    <t>ＩＬ工事Ｓ　大阪　北大阪　北大阪第２ＣＳ</t>
  </si>
  <si>
    <t>ＩＬ工事Ｓ　大阪　北大阪　奈良ＣＳ</t>
  </si>
  <si>
    <t>ＩＬ工事Ｓ　大阪　京滋支店</t>
  </si>
  <si>
    <t>ＩＬ工事Ｓ　大阪　京滋支店　茨木第１ＣＳ</t>
  </si>
  <si>
    <t>ＩＬ工事Ｓ　大阪　京滋支店　茨木第２ＣＳ</t>
  </si>
  <si>
    <t>ＩＬ工事Ｓ　大阪　京滋支店　滋賀第１ＣＳ</t>
  </si>
  <si>
    <t>ＩＬ工事Ｓ　大阪　京滋支店　滋賀第２ＣＳ</t>
  </si>
  <si>
    <t>ＩＬ工事Ｓ　関西サービス部</t>
  </si>
  <si>
    <t>ＩＬ工事Ｓ　関西　神戸支店</t>
  </si>
  <si>
    <t>ＩＬ工事Ｓ　関西　神戸支店　神戸第１ＣＳ</t>
  </si>
  <si>
    <t>ＩＬ工事Ｓ　関西　神戸支店　神戸第２ＣＳ</t>
  </si>
  <si>
    <t>ＩＬ工事Ｓ　関西　神戸支店　神戸第３ＣＳ</t>
  </si>
  <si>
    <t>ＩＬ工事Ｓ　関西　姫路支店</t>
  </si>
  <si>
    <t>ＩＬ工事Ｓ　関西　姫路支店　姫路ＣＳ</t>
  </si>
  <si>
    <t>ＩＬ工事Ｓ　関西　姫路支店　西脇ＣＳ</t>
  </si>
  <si>
    <t>ＩＬ工事Ｓ　関西　姫路支店　津山ＣＳ</t>
  </si>
  <si>
    <t>ＩＬ工事Ｓ　関西　四国支店</t>
  </si>
  <si>
    <t>ＩＬ工事Ｓ　関西　四国支店　高松ＣＳ</t>
  </si>
  <si>
    <t>ＩＬ工事Ｓ　関西　四国支店　徳島ＣＳ</t>
  </si>
  <si>
    <t>ＩＬ工事Ｓ　関西　四国支店　水島第１ＣＳ</t>
  </si>
  <si>
    <t>ＩＬ工事Ｓ　関西　四国支店　水島第２ＣＳ</t>
  </si>
  <si>
    <t>ＩＬ工事Ｓ　関西　四国支店　松山ＣＳ</t>
  </si>
  <si>
    <t>ＩＬ工事Ｓ　西部サービス部</t>
  </si>
  <si>
    <t>ＩＬ工事Ｓ　西部サービス部（鳥栖）</t>
  </si>
  <si>
    <t>ＩＬ工事Ｓ　西部　広島支店</t>
  </si>
  <si>
    <t>ＩＬ工事Ｓ　西部　広島支店　広島ＣＳ</t>
  </si>
  <si>
    <t>ＩＬ工事Ｓ　西部　広島支店　尾道ＣＳ</t>
  </si>
  <si>
    <t>ＩＬ工事Ｓ　西部　広島支店　山陰ＣＳ</t>
  </si>
  <si>
    <t>ＩＬ工事Ｓ　西部　広島支店　山口ＣＳ</t>
  </si>
  <si>
    <t>ＩＬ工事Ｓ　西部　九州支店</t>
  </si>
  <si>
    <t>ＩＬ工事Ｓ　西部　九州支店　鳥栖第１ＣＳ</t>
  </si>
  <si>
    <t>ＩＬ工事Ｓ　西部　九州支店　鳥栖第２ＣＳ</t>
  </si>
  <si>
    <t>ＩＬ工事Ｓ　西部　九州支店　北九州ＣＳ</t>
  </si>
  <si>
    <t>ＩＬ工事Ｓ　西部　九州支店　福岡ＣＳ</t>
  </si>
  <si>
    <t>ＩＬ工事Ｓ　西部　九州支店　熊本ＣＳ</t>
  </si>
  <si>
    <t>ＩＬ工事Ｓ　西部　九州支店　南九州ＣＳ</t>
  </si>
  <si>
    <t>ＩＬ工事Ｓ　西部　九州支店　宮崎ＣＳ</t>
  </si>
  <si>
    <t>ＩＬ工事Ｓ　フィールドサポート室</t>
  </si>
  <si>
    <t>室長</t>
  </si>
  <si>
    <t>ＩＬ工事Ｓ　フィールドサポート室（鴻巣）</t>
  </si>
  <si>
    <t>ＩＬ工事Ｓ　ＦＥサポート　パーツセンター</t>
  </si>
  <si>
    <t>センター長</t>
  </si>
  <si>
    <t>ＩＬ工事Ｓ　パーツセンター　国内Ｔ</t>
  </si>
  <si>
    <t>ＩＬ工事Ｓ　パーツセンター　海外Ｔ</t>
  </si>
  <si>
    <t>ＩＬ工事Ｓ　システムサポートセンター</t>
  </si>
  <si>
    <t>ＩＬ工事Ｓ　システムサポート　流山Ｔ</t>
  </si>
  <si>
    <t>ＩＬ工事Ｓ　システムサポート　北関東Ｔ</t>
  </si>
  <si>
    <t>ＩＬ工事Ｓ　システムサポート　小牧Ｔ</t>
  </si>
  <si>
    <t>ＩＬ工事Ｓ　システムサポート　大阪Ｔ</t>
  </si>
  <si>
    <t>ＩＬ工事Ｓ　システムサポート　北大阪Ｔ</t>
  </si>
  <si>
    <t>ＩＬ工事Ｓ　ＦＥサポート室　保守Ｇ</t>
  </si>
  <si>
    <t>ＩＬ工事Ｓ　ＦＥサポート室　保守Ｇ（流山</t>
  </si>
  <si>
    <t>ＩＬ工事Ｓ　ＦＥサポート室　保守Ｇ（大阪</t>
  </si>
  <si>
    <t>ＩＬ工事Ｓ　フィールド品質管理室</t>
  </si>
  <si>
    <t>ＩＬ工事Ｓ　ＦＥ品質管理室（厚木）</t>
  </si>
  <si>
    <t>ＩＬ工事Ｓ　ＦＥ品質管理室（滋賀）</t>
  </si>
  <si>
    <t>ＩＬ工事Ｓ　ＦＥ品管　品質Ｇ</t>
  </si>
  <si>
    <t>ＩＬ工事Ｓ　品質Ｇ　１Ｔ</t>
  </si>
  <si>
    <t>ＩＬ工事Ｓ　品質Ｇ　１Ｔ（新潟）</t>
  </si>
  <si>
    <t>係長</t>
  </si>
  <si>
    <t>ＩＬ工事Ｓ　品質Ｇ　１Ｔ（鴻巣）</t>
    <rPh sb="13" eb="15">
      <t>コウノス</t>
    </rPh>
    <phoneticPr fontId="31"/>
  </si>
  <si>
    <t>一般</t>
  </si>
  <si>
    <t>ＩＬ工事Ｓ　品質Ｇ　１Ｔ（山梨）</t>
    <rPh sb="13" eb="15">
      <t>ヤマナシ</t>
    </rPh>
    <phoneticPr fontId="31"/>
  </si>
  <si>
    <t>ＩＬ工事Ｓ　品質Ｇ　１Ｔ（小牧）</t>
  </si>
  <si>
    <t>ＩＬ工事Ｓ　品質Ｇ　１Ｔ（大阪）</t>
  </si>
  <si>
    <t>ＩＬ工事Ｓ　品質Ｇ　１Ｔ（広島）</t>
  </si>
  <si>
    <t>ＩＬ工事Ｓ　品質Ｇ　２Ｔ</t>
  </si>
  <si>
    <t>ＩＬ工事Ｓ　品質Ｇ　２Ｔ（小牧）</t>
  </si>
  <si>
    <t>ＩＬ工事Ｓ　品質Ｇ　ＫＵ・ＫＴ支援Ｔ</t>
  </si>
  <si>
    <t>ＩＬ工事Ｓ　ＫＵ・ＫＴ支援Ｔ（山梨）</t>
  </si>
  <si>
    <t>ＩＬ工事Ｓ　ＫＵ・ＫＴ支援Ｔ（大阪）</t>
  </si>
  <si>
    <t>ＩＬ工事Ｓ　ＫＵ・ＫＴ支援Ｔ（鳥栖）</t>
  </si>
  <si>
    <t>ＩＬ工事Ｓ　ＦＥ品管　ＦＥＧ</t>
  </si>
  <si>
    <t>ＩＬ工事Ｓ　ＦＥ品管　ＦＥＧ（小牧）</t>
  </si>
  <si>
    <t>ＩＬ工事Ｓ　ＦＥ品管　プロジェクトＧ</t>
  </si>
  <si>
    <t>ＩＬ工事Ｓ　ＦＥ品管　ＰＪＧ（小牧）</t>
  </si>
  <si>
    <t>ＩＬ工事Ｓ　フィールド企画管理室</t>
  </si>
  <si>
    <t>ＩＬ工事Ｓ　フィールド企画管理室（小牧）</t>
  </si>
  <si>
    <t>ＩＬ工事Ｓ　ＦＥ企管　企画Ｇ</t>
  </si>
  <si>
    <t>ＩＬ工事Ｓ　ＦＥ企管　企画Ｇ（東京）</t>
  </si>
  <si>
    <t>ＩＬ工事Ｓ　ＦＥ企管　企画Ｇ（小牧）</t>
  </si>
  <si>
    <t>ＩＬ工事Ｓ　ＦＥ企管　企画Ｇ（大阪）</t>
  </si>
  <si>
    <t>ＩＬ工事Ｓ　ＦＥ企管　企画Ｇ（神戸）</t>
  </si>
  <si>
    <t>ＩＬ工事Ｓ　ＦＥ企管　技術Ｇ</t>
  </si>
  <si>
    <t>ＩＬ工事Ｓ　ＦＥ企菅　技術Ｇ　技術Ｔ</t>
  </si>
  <si>
    <t>ＩＬ工事Ｓ　技術Ｇ　技術Ｔ（流山）</t>
  </si>
  <si>
    <t>ＩＬ工事Ｓ　技術Ｇ　技術Ｔ（滋賀）</t>
  </si>
  <si>
    <t>ＩＬ工事Ｓ　技術Ｇ　レイアウト検証Ｔ</t>
  </si>
  <si>
    <t>ＩＬ工事Ｓ　技術Ｇ　Ｌ検証Ｔ（草加）</t>
  </si>
  <si>
    <t>ＩＬ工事Ｓ　技術Ｇ　Ｌ検証Ｔ（大阪）</t>
  </si>
  <si>
    <t>ＩＬ工事Ｓ　技術Ｇ　ＴＴＣ－Ｔ</t>
  </si>
  <si>
    <t>ＩＬ工事Ｓ　技術Ｇ　設備検証Ｔ</t>
  </si>
  <si>
    <t>ＩＬ工事Ｓ　技術Ｇ　設備検証Ｔ（新潟）</t>
  </si>
  <si>
    <t>ＩＬ工事Ｓ　技術Ｇ　設備検証Ｔ（成田）</t>
  </si>
  <si>
    <t>ＩＬ工事Ｓ　技術Ｇ　設備検証Ｔ（小牧）</t>
  </si>
  <si>
    <t>ＩＬ工事Ｓ　技術Ｇ　設備検証Ｔ（滋賀）</t>
  </si>
  <si>
    <t>ＩＬ工事Ｓ　人材開発室</t>
  </si>
  <si>
    <t>ＩＬ工事Ｓ　人材開発　東日本研修センター</t>
  </si>
  <si>
    <t>主査</t>
  </si>
  <si>
    <t>ＩＬ工事Ｓ　東日本研修センター（草加）</t>
  </si>
  <si>
    <t>ＩＬ工事Ｓ　東日本研修センター（横浜）</t>
  </si>
  <si>
    <t>ＩＬ工事Ｓ　人材開発　西日本研修センター</t>
  </si>
  <si>
    <t>ＩＬ工事Ｓ　西日本研修センター（小牧）</t>
  </si>
  <si>
    <t>ＩＬ工事Ｓ　人材開発　グローバル研修Ｇ</t>
  </si>
  <si>
    <t>ＩＬ工事Ｓ　グローバル研修Ｇ（大宮）</t>
  </si>
  <si>
    <t>ＩＬ工事Ｓ　グローバル研修Ｇ（横浜）</t>
  </si>
  <si>
    <t>ＩＬ工事Ｓ　グローバル研修Ｇ（滋賀）</t>
  </si>
  <si>
    <t>ＩＬ工事Ｓ　フィールド業務改革室</t>
  </si>
  <si>
    <t>ＩＬ工事Ｓ　フィールド業務改革室（小牧）</t>
  </si>
  <si>
    <t>ＩＬ工事Ｓ　ＦＥ業務改革　工事計画Ｇ</t>
  </si>
  <si>
    <t>ＩＬ工事Ｓ　ＦＥ業務改革　工事計画Ｇ</t>
    <phoneticPr fontId="31"/>
  </si>
  <si>
    <t>ＩＬ工事Ｓ　工事計画Ｇ（横浜）</t>
  </si>
  <si>
    <t>ＩＬ工事Ｓ　工事計画Ｇ（小牧）</t>
  </si>
  <si>
    <t>ＩＬ工事Ｓ　工事計画Ｇ（大阪）</t>
  </si>
  <si>
    <t>ＩＬ工事Ｓ　ＦＥ業務改革　システム開発Ｇ</t>
  </si>
  <si>
    <t>ＩＬ工事Ｓ　システム開発Ｇ（田町）</t>
  </si>
  <si>
    <t>ＩＬ工事Ｓ　システム開発Ｇ（滋賀）</t>
  </si>
  <si>
    <t>ＩＬ工事Ｓ　システム開発Ｇ（大阪）</t>
  </si>
  <si>
    <t>ＩＬ工事Ｓ　ＦＥ業務改革　規格開発Ｇ</t>
  </si>
  <si>
    <t>ＩＬ工事Ｓ　規格開発Ｇ（小牧）</t>
  </si>
  <si>
    <t>ＩＬ工事Ｓ　ＦＥ業務改革　業務Ｇ</t>
  </si>
  <si>
    <t>ＩＬ工事Ｓ　業務Ｇ　１Ｔ</t>
  </si>
  <si>
    <t>ＩＬ工事Ｓ　業務Ｇ　１Ｔ（田町）</t>
  </si>
  <si>
    <t>ＩＬ工事Ｓ　業務Ｇ　２Ｔ</t>
  </si>
  <si>
    <t>ＩＬ工事Ｓ　業務Ｇ　２Ｔ（水戸）</t>
  </si>
  <si>
    <t>ＩＬ工事Ｓ　業務Ｇ　２Ｔ（大阪）</t>
  </si>
  <si>
    <t>氏名</t>
  </si>
  <si>
    <t>881803</t>
  </si>
  <si>
    <t>東郷 進路</t>
  </si>
  <si>
    <t>905174</t>
  </si>
  <si>
    <t>猪嶋 宏成</t>
  </si>
  <si>
    <t>881076</t>
  </si>
  <si>
    <t>林 竜登志</t>
  </si>
  <si>
    <t>973410</t>
  </si>
  <si>
    <t>鈴木 健一</t>
  </si>
  <si>
    <t>922340</t>
  </si>
  <si>
    <t>塩﨑 仁</t>
  </si>
  <si>
    <t>123105</t>
  </si>
  <si>
    <t>星野 貢次</t>
  </si>
  <si>
    <t>073149</t>
  </si>
  <si>
    <t>磯部 真人</t>
  </si>
  <si>
    <t>941176</t>
  </si>
  <si>
    <t>173504</t>
  </si>
  <si>
    <t>佐藤 康平</t>
  </si>
  <si>
    <t>203366</t>
  </si>
  <si>
    <t>秋山 卓哉</t>
  </si>
  <si>
    <t>203526</t>
  </si>
  <si>
    <t>角野 洋介</t>
  </si>
  <si>
    <t>223948</t>
  </si>
  <si>
    <t>佐藤 息吹</t>
  </si>
  <si>
    <t>233994</t>
  </si>
  <si>
    <t>細川 大稀</t>
  </si>
  <si>
    <t>253589</t>
  </si>
  <si>
    <t>村中 優介</t>
  </si>
  <si>
    <t>109169</t>
  </si>
  <si>
    <t>183680</t>
  </si>
  <si>
    <t>三原 靖弘</t>
  </si>
  <si>
    <t>193649</t>
  </si>
  <si>
    <t>山田 篤</t>
  </si>
  <si>
    <t>223603</t>
  </si>
  <si>
    <t>柵山 貴紀</t>
  </si>
  <si>
    <t>019010</t>
  </si>
  <si>
    <t>083137</t>
  </si>
  <si>
    <t>170387</t>
  </si>
  <si>
    <t>田中 友浩</t>
  </si>
  <si>
    <t>194088</t>
  </si>
  <si>
    <t>佐藤 達弥</t>
  </si>
  <si>
    <t>234519</t>
  </si>
  <si>
    <t>藤田 空</t>
  </si>
  <si>
    <t>109228</t>
  </si>
  <si>
    <t>143370</t>
  </si>
  <si>
    <t>永岡 慈弘</t>
  </si>
  <si>
    <t>090344</t>
  </si>
  <si>
    <t>163617</t>
  </si>
  <si>
    <t>大羽澤 開</t>
  </si>
  <si>
    <t>073602</t>
  </si>
  <si>
    <t>野口 賢</t>
  </si>
  <si>
    <t>234072</t>
  </si>
  <si>
    <t>小酒 光亮</t>
  </si>
  <si>
    <t>240563</t>
  </si>
  <si>
    <t>伝法谷 洸稀</t>
  </si>
  <si>
    <t>159089</t>
  </si>
  <si>
    <t>194248</t>
  </si>
  <si>
    <t>細木 諒平</t>
  </si>
  <si>
    <t>970596</t>
  </si>
  <si>
    <t>藤田 幸治</t>
  </si>
  <si>
    <t>073859</t>
  </si>
  <si>
    <t>193652</t>
  </si>
  <si>
    <t>223762</t>
  </si>
  <si>
    <t>柳生 康一郎</t>
  </si>
  <si>
    <t>224068</t>
  </si>
  <si>
    <t>渡辺 翔</t>
  </si>
  <si>
    <t>233011</t>
  </si>
  <si>
    <t>上門 義明</t>
  </si>
  <si>
    <t>149062</t>
  </si>
  <si>
    <t>193304</t>
  </si>
  <si>
    <t>193782</t>
  </si>
  <si>
    <t>243256</t>
  </si>
  <si>
    <t>鷹島 雄馬</t>
  </si>
  <si>
    <t>233734</t>
  </si>
  <si>
    <t>小川 凜人</t>
  </si>
  <si>
    <t>247186</t>
  </si>
  <si>
    <t>藤川 真由子</t>
  </si>
  <si>
    <t>163558</t>
  </si>
  <si>
    <t>193258</t>
  </si>
  <si>
    <t>224097</t>
  </si>
  <si>
    <t>渡邊 浩哉</t>
  </si>
  <si>
    <t>224215</t>
  </si>
  <si>
    <t>星 悠太</t>
  </si>
  <si>
    <t>109101</t>
  </si>
  <si>
    <t>073325</t>
  </si>
  <si>
    <t>金井 一義</t>
  </si>
  <si>
    <t>900010</t>
  </si>
  <si>
    <t>有馬 恵寿美</t>
  </si>
  <si>
    <t>061302</t>
  </si>
  <si>
    <t>小島 智幸</t>
  </si>
  <si>
    <t>061445</t>
  </si>
  <si>
    <t>太田 雅博</t>
  </si>
  <si>
    <t>193362</t>
  </si>
  <si>
    <t>竹内 時央</t>
  </si>
  <si>
    <t>220646</t>
  </si>
  <si>
    <t>谷本 竜馬</t>
  </si>
  <si>
    <t>233402</t>
  </si>
  <si>
    <t>長沼 大地</t>
  </si>
  <si>
    <t>239107</t>
  </si>
  <si>
    <t>鹿又 綾</t>
  </si>
  <si>
    <t>073022</t>
  </si>
  <si>
    <t>194466</t>
  </si>
  <si>
    <t>213820</t>
  </si>
  <si>
    <t>福島 彰純</t>
  </si>
  <si>
    <t>234027</t>
  </si>
  <si>
    <t>橘 大雅</t>
  </si>
  <si>
    <t>243836</t>
  </si>
  <si>
    <t>渡邉 拓眞</t>
  </si>
  <si>
    <t>143442</t>
  </si>
  <si>
    <t>日向 翔吾</t>
  </si>
  <si>
    <t>193610</t>
  </si>
  <si>
    <t>遠藤 瑠也</t>
  </si>
  <si>
    <t>230461</t>
  </si>
  <si>
    <t>鈴木 絃太</t>
  </si>
  <si>
    <t>253097</t>
  </si>
  <si>
    <t>髙橋 恒輝</t>
  </si>
  <si>
    <t>254120</t>
  </si>
  <si>
    <t>福田 峻也</t>
  </si>
  <si>
    <t>247027</t>
  </si>
  <si>
    <t>河野 純</t>
  </si>
  <si>
    <t>153544</t>
  </si>
  <si>
    <t>911896</t>
  </si>
  <si>
    <t>嘉鳥 敬仁</t>
  </si>
  <si>
    <t>213080</t>
  </si>
  <si>
    <t>爲貝 文弥</t>
  </si>
  <si>
    <t>193984</t>
  </si>
  <si>
    <t>西川 直輝</t>
  </si>
  <si>
    <t>254667</t>
  </si>
  <si>
    <t>角田 晴紀</t>
  </si>
  <si>
    <t>069007</t>
  </si>
  <si>
    <t>030188</t>
  </si>
  <si>
    <t>133047</t>
  </si>
  <si>
    <t>133063</t>
  </si>
  <si>
    <t>重村 和矢</t>
  </si>
  <si>
    <t>170390</t>
  </si>
  <si>
    <t>髙村 知季</t>
  </si>
  <si>
    <t>203106</t>
  </si>
  <si>
    <t>横田 将大</t>
  </si>
  <si>
    <t>243487</t>
  </si>
  <si>
    <t>森 裕紀</t>
  </si>
  <si>
    <t>254292</t>
  </si>
  <si>
    <t>金子 知樹</t>
  </si>
  <si>
    <t>239051</t>
  </si>
  <si>
    <t>齊藤 千恵</t>
  </si>
  <si>
    <t>080415</t>
  </si>
  <si>
    <t>藤井 基晴</t>
  </si>
  <si>
    <t>193131</t>
  </si>
  <si>
    <t>坂井 翔太郎</t>
  </si>
  <si>
    <t>224101</t>
  </si>
  <si>
    <t>青木 雅巳</t>
  </si>
  <si>
    <t>213107</t>
  </si>
  <si>
    <t>阿久津 佑太</t>
  </si>
  <si>
    <t>230852</t>
  </si>
  <si>
    <t>梅本 虎矢</t>
  </si>
  <si>
    <t>079005</t>
  </si>
  <si>
    <t>893826</t>
  </si>
  <si>
    <t>木皿 邦彦</t>
  </si>
  <si>
    <t>914303</t>
  </si>
  <si>
    <t>伊藤 津与志</t>
  </si>
  <si>
    <t>073080</t>
  </si>
  <si>
    <t>150213</t>
  </si>
  <si>
    <t>増田 侑規</t>
  </si>
  <si>
    <t>193261</t>
  </si>
  <si>
    <t>三友 喬志</t>
  </si>
  <si>
    <t>220734</t>
  </si>
  <si>
    <t>杉山 塁</t>
  </si>
  <si>
    <t>233196</t>
  </si>
  <si>
    <t>和田 拓望</t>
  </si>
  <si>
    <t>243386</t>
  </si>
  <si>
    <t>荒原 祐貴</t>
  </si>
  <si>
    <t>247043</t>
  </si>
  <si>
    <t>中澤 綾香</t>
  </si>
  <si>
    <t>143413</t>
  </si>
  <si>
    <t>203513</t>
  </si>
  <si>
    <t>多久和 周平</t>
  </si>
  <si>
    <t>233183</t>
  </si>
  <si>
    <t>鷲尾 嘉一</t>
  </si>
  <si>
    <t>233385</t>
  </si>
  <si>
    <t>浦和 拓</t>
  </si>
  <si>
    <t>234203</t>
  </si>
  <si>
    <t>梶野 峻平</t>
  </si>
  <si>
    <t>239064</t>
  </si>
  <si>
    <t>080372</t>
  </si>
  <si>
    <t>194251</t>
  </si>
  <si>
    <t>福田 滉吉</t>
  </si>
  <si>
    <t>210690</t>
  </si>
  <si>
    <t>渡部 海大</t>
  </si>
  <si>
    <t>223296</t>
  </si>
  <si>
    <t>徳久 奨</t>
  </si>
  <si>
    <t>200484</t>
  </si>
  <si>
    <t>大原 涼太</t>
  </si>
  <si>
    <t>041140</t>
  </si>
  <si>
    <t>073615</t>
  </si>
  <si>
    <t>080499</t>
  </si>
  <si>
    <t>相本 尚昭</t>
  </si>
  <si>
    <t>243038</t>
  </si>
  <si>
    <t>高良 美彦</t>
  </si>
  <si>
    <t>999009</t>
  </si>
  <si>
    <t>133148</t>
  </si>
  <si>
    <t>183781</t>
  </si>
  <si>
    <t>佐川 一秀</t>
  </si>
  <si>
    <t>253736</t>
  </si>
  <si>
    <t>小圷 恵也</t>
  </si>
  <si>
    <t>143022</t>
  </si>
  <si>
    <t>浅野 喬行</t>
  </si>
  <si>
    <t>080590</t>
  </si>
  <si>
    <t>田中 洋</t>
  </si>
  <si>
    <t>223661</t>
  </si>
  <si>
    <t>寳示戸 颯馬</t>
  </si>
  <si>
    <t>229050</t>
  </si>
  <si>
    <t>045298</t>
  </si>
  <si>
    <t>森澤 信哉</t>
  </si>
  <si>
    <t>113159</t>
  </si>
  <si>
    <t>183114</t>
  </si>
  <si>
    <t>辻本 渉太</t>
  </si>
  <si>
    <t>213208</t>
  </si>
  <si>
    <t>浅井 拓也</t>
  </si>
  <si>
    <t>223528</t>
  </si>
  <si>
    <t>千浦 優太</t>
  </si>
  <si>
    <t>224202</t>
  </si>
  <si>
    <t>内野 翔太</t>
  </si>
  <si>
    <t>253130</t>
  </si>
  <si>
    <t>三村 航大</t>
  </si>
  <si>
    <t>099022</t>
  </si>
  <si>
    <t>140342</t>
  </si>
  <si>
    <t>163112</t>
  </si>
  <si>
    <t>濱口 優太</t>
  </si>
  <si>
    <t>047177</t>
  </si>
  <si>
    <t>220529</t>
  </si>
  <si>
    <t>清水 俊希</t>
  </si>
  <si>
    <t>244116</t>
  </si>
  <si>
    <t>吉澤 立空</t>
  </si>
  <si>
    <t>045302</t>
  </si>
  <si>
    <t>中嶋 友暁</t>
  </si>
  <si>
    <t>030159</t>
  </si>
  <si>
    <t>松浦 康人</t>
  </si>
  <si>
    <t>113247</t>
  </si>
  <si>
    <t>173458</t>
  </si>
  <si>
    <t>渋谷 勇樹</t>
  </si>
  <si>
    <t>180753</t>
  </si>
  <si>
    <t>山本 暁丈</t>
  </si>
  <si>
    <t>117702</t>
  </si>
  <si>
    <t>223443</t>
  </si>
  <si>
    <t>山口 円理</t>
  </si>
  <si>
    <t>243025</t>
  </si>
  <si>
    <t>荒井 紗都</t>
  </si>
  <si>
    <t>163444</t>
  </si>
  <si>
    <t>902159</t>
  </si>
  <si>
    <t>石本 正二</t>
  </si>
  <si>
    <t>970277</t>
  </si>
  <si>
    <t>213181</t>
  </si>
  <si>
    <t>瀬沼 亮太</t>
  </si>
  <si>
    <t>230520</t>
  </si>
  <si>
    <t>本荘 雅人</t>
  </si>
  <si>
    <t>233431</t>
  </si>
  <si>
    <t>津留 竜也</t>
  </si>
  <si>
    <t>253462</t>
  </si>
  <si>
    <t>立花 青</t>
  </si>
  <si>
    <t>254683</t>
  </si>
  <si>
    <t>上田 大輝</t>
  </si>
  <si>
    <t>163604</t>
  </si>
  <si>
    <t>田村 大樹</t>
  </si>
  <si>
    <t>213093</t>
  </si>
  <si>
    <t>斉藤 敦紀</t>
  </si>
  <si>
    <t>194408</t>
  </si>
  <si>
    <t>笠原 夢人</t>
  </si>
  <si>
    <t>244145</t>
  </si>
  <si>
    <t>小島 健人</t>
  </si>
  <si>
    <t>119229</t>
  </si>
  <si>
    <t>971629</t>
  </si>
  <si>
    <t>室本 直臣</t>
  </si>
  <si>
    <t>143400</t>
  </si>
  <si>
    <t>153355</t>
  </si>
  <si>
    <t>183459</t>
  </si>
  <si>
    <t>熊谷 俊祐</t>
  </si>
  <si>
    <t>213918</t>
  </si>
  <si>
    <t>萩原 幹</t>
  </si>
  <si>
    <t>233109</t>
  </si>
  <si>
    <t>中島 徹也</t>
  </si>
  <si>
    <t>240039</t>
  </si>
  <si>
    <t>楊 欽元</t>
  </si>
  <si>
    <t>089281</t>
  </si>
  <si>
    <t>173429</t>
  </si>
  <si>
    <t>194091</t>
  </si>
  <si>
    <t>宮本 和馬</t>
  </si>
  <si>
    <t>233040</t>
  </si>
  <si>
    <t>渡辺 友浩</t>
  </si>
  <si>
    <t>233907</t>
  </si>
  <si>
    <t>藤﨑 正樹</t>
  </si>
  <si>
    <t>244031</t>
  </si>
  <si>
    <t>古田 翔平</t>
  </si>
  <si>
    <t>163587</t>
  </si>
  <si>
    <t>志村 航平</t>
  </si>
  <si>
    <t>213282</t>
  </si>
  <si>
    <t>田中 雅人</t>
  </si>
  <si>
    <t>253635</t>
  </si>
  <si>
    <t>永野 貴基</t>
  </si>
  <si>
    <t>239022</t>
  </si>
  <si>
    <t>173591</t>
  </si>
  <si>
    <t>川島 徹哉</t>
  </si>
  <si>
    <t>922500</t>
  </si>
  <si>
    <t>日浅 英明</t>
  </si>
  <si>
    <t>253358</t>
  </si>
  <si>
    <t>青木 謙真</t>
  </si>
  <si>
    <t>113191</t>
  </si>
  <si>
    <t>松谷 朗太</t>
  </si>
  <si>
    <t>050412</t>
  </si>
  <si>
    <t>203308</t>
  </si>
  <si>
    <t>若林 達也</t>
  </si>
  <si>
    <t>203786</t>
  </si>
  <si>
    <t>浅川 寛人</t>
  </si>
  <si>
    <t>194381</t>
  </si>
  <si>
    <t>赤崎 泰優</t>
  </si>
  <si>
    <t>233268</t>
  </si>
  <si>
    <t>清水 政宏</t>
  </si>
  <si>
    <t>244044</t>
  </si>
  <si>
    <t>関根 愛也</t>
  </si>
  <si>
    <t>253749</t>
  </si>
  <si>
    <t>神村 俊男</t>
  </si>
  <si>
    <t>153371</t>
  </si>
  <si>
    <t>森 俊輔</t>
  </si>
  <si>
    <t>223586</t>
  </si>
  <si>
    <t>吉田 諒平</t>
  </si>
  <si>
    <t>223788</t>
  </si>
  <si>
    <t>中島 丈喜</t>
  </si>
  <si>
    <t>254159</t>
  </si>
  <si>
    <t>桒原 仁</t>
  </si>
  <si>
    <t>931436</t>
  </si>
  <si>
    <t>久保 和潔</t>
  </si>
  <si>
    <t>981617</t>
  </si>
  <si>
    <t>戎 誠</t>
  </si>
  <si>
    <t>060615</t>
  </si>
  <si>
    <t>190594</t>
  </si>
  <si>
    <t>横山 航</t>
  </si>
  <si>
    <t>921099</t>
  </si>
  <si>
    <t>921578</t>
  </si>
  <si>
    <t>小山 哲矢</t>
  </si>
  <si>
    <t>213947</t>
  </si>
  <si>
    <t>平野 圭祐</t>
  </si>
  <si>
    <t>230197</t>
  </si>
  <si>
    <t>銭谷 陽太</t>
  </si>
  <si>
    <t>029005</t>
  </si>
  <si>
    <t>173054</t>
  </si>
  <si>
    <t>163330</t>
  </si>
  <si>
    <t>藤井 亮介</t>
  </si>
  <si>
    <t>193795</t>
  </si>
  <si>
    <t>中村 知也</t>
  </si>
  <si>
    <t>973511</t>
  </si>
  <si>
    <t>沼上 純</t>
  </si>
  <si>
    <t>220792</t>
  </si>
  <si>
    <t>豊澤 侑介</t>
  </si>
  <si>
    <t>173748</t>
  </si>
  <si>
    <t>石井 湧人</t>
  </si>
  <si>
    <t>213077</t>
  </si>
  <si>
    <t>田島 柊平</t>
  </si>
  <si>
    <t>253606</t>
  </si>
  <si>
    <t>小牧 隆成</t>
  </si>
  <si>
    <t>254511</t>
  </si>
  <si>
    <t>上田 純平</t>
  </si>
  <si>
    <t>045201</t>
  </si>
  <si>
    <t>片山 真也</t>
  </si>
  <si>
    <t>090490</t>
  </si>
  <si>
    <t>川本 亨</t>
  </si>
  <si>
    <t>253101</t>
  </si>
  <si>
    <t>山口 雷太</t>
  </si>
  <si>
    <t>213051</t>
  </si>
  <si>
    <t>津留 将也</t>
  </si>
  <si>
    <t>254104</t>
  </si>
  <si>
    <t>菊地 陽介</t>
  </si>
  <si>
    <t>149020</t>
  </si>
  <si>
    <t>150457</t>
  </si>
  <si>
    <t>坂本 浩基</t>
  </si>
  <si>
    <t>213686</t>
  </si>
  <si>
    <t>樋山 博一</t>
  </si>
  <si>
    <t>214038</t>
  </si>
  <si>
    <t>森 亮也</t>
  </si>
  <si>
    <t>253592</t>
  </si>
  <si>
    <t>城所 弘泰</t>
  </si>
  <si>
    <t>045852</t>
  </si>
  <si>
    <t>183765</t>
  </si>
  <si>
    <t>169123</t>
  </si>
  <si>
    <t>073774</t>
  </si>
  <si>
    <t>173751</t>
  </si>
  <si>
    <t>依田 健司</t>
  </si>
  <si>
    <t>234186</t>
  </si>
  <si>
    <t>山口 一綺</t>
  </si>
  <si>
    <t>109097</t>
  </si>
  <si>
    <t>911766</t>
  </si>
  <si>
    <t>坂田 聡育</t>
  </si>
  <si>
    <t>143279</t>
  </si>
  <si>
    <t>173009</t>
  </si>
  <si>
    <t>西浦 賢一</t>
  </si>
  <si>
    <t>223238</t>
  </si>
  <si>
    <t>清野 一輝</t>
  </si>
  <si>
    <t>254289</t>
  </si>
  <si>
    <t>矢本 魁</t>
  </si>
  <si>
    <t>199054</t>
  </si>
  <si>
    <t>140023</t>
  </si>
  <si>
    <t>140300</t>
  </si>
  <si>
    <t>239019</t>
  </si>
  <si>
    <t>080529</t>
  </si>
  <si>
    <t>180274</t>
  </si>
  <si>
    <t>松原 健悟</t>
  </si>
  <si>
    <t>243692</t>
  </si>
  <si>
    <t>田中 涼太</t>
  </si>
  <si>
    <t>257015</t>
  </si>
  <si>
    <t>和田 宏子</t>
  </si>
  <si>
    <t>941411</t>
  </si>
  <si>
    <t>植田 武</t>
  </si>
  <si>
    <t>972084</t>
  </si>
  <si>
    <t>寺本 文宏</t>
  </si>
  <si>
    <t>123378</t>
  </si>
  <si>
    <t>170794</t>
  </si>
  <si>
    <t>鬼頭 豪英</t>
  </si>
  <si>
    <t>223759</t>
  </si>
  <si>
    <t>寺嶋 剛久</t>
  </si>
  <si>
    <t>254393</t>
  </si>
  <si>
    <t>井上 連太郎</t>
  </si>
  <si>
    <t>207078</t>
  </si>
  <si>
    <t>123411</t>
  </si>
  <si>
    <t>203395</t>
  </si>
  <si>
    <t>伊藤 稔</t>
  </si>
  <si>
    <t>213602</t>
  </si>
  <si>
    <t>三浦 孝介</t>
  </si>
  <si>
    <t>229034</t>
  </si>
  <si>
    <t>090416</t>
  </si>
  <si>
    <t>153313</t>
  </si>
  <si>
    <t>堀切 琢也</t>
  </si>
  <si>
    <t>000055</t>
  </si>
  <si>
    <t>254250</t>
  </si>
  <si>
    <t>幸田 零士</t>
  </si>
  <si>
    <t>201126</t>
  </si>
  <si>
    <t>石塚 大貴</t>
  </si>
  <si>
    <t>930127</t>
  </si>
  <si>
    <t>伊原 修</t>
  </si>
  <si>
    <t>193825</t>
  </si>
  <si>
    <t>小川 紘平</t>
  </si>
  <si>
    <t>213123</t>
  </si>
  <si>
    <t>三宅 浩希</t>
  </si>
  <si>
    <t>133034</t>
  </si>
  <si>
    <t>173025</t>
  </si>
  <si>
    <t>213439</t>
  </si>
  <si>
    <t>元田 幸宏</t>
  </si>
  <si>
    <t>253459</t>
  </si>
  <si>
    <t>鈴木 眞央</t>
  </si>
  <si>
    <t>223791</t>
  </si>
  <si>
    <t>森塚 涼太</t>
  </si>
  <si>
    <t>129246</t>
  </si>
  <si>
    <t>193388</t>
  </si>
  <si>
    <t>玉井 正輝</t>
  </si>
  <si>
    <t>061575</t>
  </si>
  <si>
    <t>小栗 寛</t>
  </si>
  <si>
    <t>194509</t>
  </si>
  <si>
    <t>中田 滉人</t>
  </si>
  <si>
    <t>213905</t>
  </si>
  <si>
    <t>下里 光平</t>
  </si>
  <si>
    <t>089308</t>
  </si>
  <si>
    <t>173487</t>
  </si>
  <si>
    <t>近藤 啓介</t>
  </si>
  <si>
    <t>191151</t>
  </si>
  <si>
    <t>参沢 龍樹</t>
  </si>
  <si>
    <t>207108</t>
  </si>
  <si>
    <t>183198</t>
  </si>
  <si>
    <t>山下 圭祐</t>
  </si>
  <si>
    <t>183664</t>
  </si>
  <si>
    <t>万代 大道</t>
  </si>
  <si>
    <t>213309</t>
  </si>
  <si>
    <t>齋藤 嗣温</t>
  </si>
  <si>
    <t>123251</t>
  </si>
  <si>
    <t>143006</t>
  </si>
  <si>
    <t>194192</t>
  </si>
  <si>
    <t>今井 悠人</t>
  </si>
  <si>
    <t>972257</t>
  </si>
  <si>
    <t>220633</t>
  </si>
  <si>
    <t>東 真平</t>
  </si>
  <si>
    <t>254423</t>
  </si>
  <si>
    <t>今井 翔天</t>
  </si>
  <si>
    <t>133180</t>
  </si>
  <si>
    <t>中尾 僚太</t>
  </si>
  <si>
    <t>913922</t>
  </si>
  <si>
    <t>160689</t>
  </si>
  <si>
    <t>久保 篤司</t>
  </si>
  <si>
    <t>213598</t>
  </si>
  <si>
    <t>奥田 永遠</t>
  </si>
  <si>
    <t>247157</t>
  </si>
  <si>
    <t>久保田 友美</t>
  </si>
  <si>
    <t>143035</t>
  </si>
  <si>
    <t>河合 宏昌</t>
  </si>
  <si>
    <t>120151</t>
  </si>
  <si>
    <t>213279</t>
  </si>
  <si>
    <t>神田 匡祐</t>
  </si>
  <si>
    <t>234115</t>
  </si>
  <si>
    <t>中島 一樹</t>
  </si>
  <si>
    <t>059015</t>
  </si>
  <si>
    <t>123280</t>
  </si>
  <si>
    <t>193216</t>
  </si>
  <si>
    <t>213543</t>
  </si>
  <si>
    <t>青山 慎</t>
  </si>
  <si>
    <t>243823</t>
  </si>
  <si>
    <t>佐野 敦士</t>
  </si>
  <si>
    <t>969019</t>
  </si>
  <si>
    <t>150053</t>
  </si>
  <si>
    <t>143282</t>
  </si>
  <si>
    <t>213211</t>
  </si>
  <si>
    <t>高橋 哲哉</t>
  </si>
  <si>
    <t>234199</t>
  </si>
  <si>
    <t>中川 祐太</t>
  </si>
  <si>
    <t>931380</t>
  </si>
  <si>
    <t>嬉野 耕治</t>
  </si>
  <si>
    <t>011381</t>
  </si>
  <si>
    <t>向谷 誠</t>
  </si>
  <si>
    <t>090605</t>
  </si>
  <si>
    <t>150327</t>
  </si>
  <si>
    <t>河埜 俊恭</t>
  </si>
  <si>
    <t>223241</t>
  </si>
  <si>
    <t>浅野 隆誠</t>
  </si>
  <si>
    <t>224303</t>
  </si>
  <si>
    <t>本田 智輝</t>
  </si>
  <si>
    <t>230618</t>
  </si>
  <si>
    <t>寺川 悠太</t>
  </si>
  <si>
    <t>240316</t>
  </si>
  <si>
    <t>鈴木 貴大</t>
  </si>
  <si>
    <t>254074</t>
  </si>
  <si>
    <t>山畑 直人</t>
  </si>
  <si>
    <t>257028</t>
  </si>
  <si>
    <t>163503</t>
  </si>
  <si>
    <t>143309</t>
  </si>
  <si>
    <t>松本 侑之</t>
  </si>
  <si>
    <t>077486</t>
  </si>
  <si>
    <t>201096</t>
  </si>
  <si>
    <t>小泉 誠也</t>
  </si>
  <si>
    <t>203728</t>
  </si>
  <si>
    <t>坂野 優斗</t>
  </si>
  <si>
    <t>244158</t>
  </si>
  <si>
    <t>山口 ヒロト</t>
  </si>
  <si>
    <t>253505</t>
  </si>
  <si>
    <t>塩田 俊哉</t>
  </si>
  <si>
    <t>083238</t>
  </si>
  <si>
    <t>203092</t>
  </si>
  <si>
    <t>中東 克矢</t>
  </si>
  <si>
    <t>243373</t>
  </si>
  <si>
    <t>荒木 浩陽</t>
  </si>
  <si>
    <t>191164</t>
  </si>
  <si>
    <t>川野 直輝</t>
  </si>
  <si>
    <t>210397</t>
  </si>
  <si>
    <t>髙島 諒也</t>
  </si>
  <si>
    <t>969030</t>
  </si>
  <si>
    <t>051154</t>
  </si>
  <si>
    <t>前澤 俊浩</t>
  </si>
  <si>
    <t>083241</t>
  </si>
  <si>
    <t>213644</t>
  </si>
  <si>
    <t>福濱 将史</t>
  </si>
  <si>
    <t>213152</t>
  </si>
  <si>
    <t>大槻 晋弘</t>
  </si>
  <si>
    <t>223368</t>
  </si>
  <si>
    <t>島川 直人</t>
  </si>
  <si>
    <t>223456</t>
  </si>
  <si>
    <t>山田 亮</t>
  </si>
  <si>
    <t>243722</t>
  </si>
  <si>
    <t>中山 太晴</t>
  </si>
  <si>
    <t>254700</t>
  </si>
  <si>
    <t>前住 尚輝</t>
  </si>
  <si>
    <t>257129</t>
  </si>
  <si>
    <t>藤吉 麻衣</t>
  </si>
  <si>
    <t>173588</t>
  </si>
  <si>
    <t>173807</t>
  </si>
  <si>
    <t>髙見 健人</t>
  </si>
  <si>
    <t>187275</t>
  </si>
  <si>
    <t>清水 寛子</t>
  </si>
  <si>
    <t>223531</t>
  </si>
  <si>
    <t>春岡 風太</t>
  </si>
  <si>
    <t>223632</t>
  </si>
  <si>
    <t>中下 将希</t>
  </si>
  <si>
    <t>243878</t>
  </si>
  <si>
    <t>粟井 大翔</t>
  </si>
  <si>
    <t>090403</t>
  </si>
  <si>
    <t>183879</t>
  </si>
  <si>
    <t>和田 潤</t>
  </si>
  <si>
    <t>244028</t>
  </si>
  <si>
    <t>中本 凜</t>
  </si>
  <si>
    <t>051255</t>
  </si>
  <si>
    <t>今関 剛</t>
  </si>
  <si>
    <t>041081</t>
  </si>
  <si>
    <t>213178</t>
  </si>
  <si>
    <t>佐藤 良樹</t>
  </si>
  <si>
    <t>223153</t>
  </si>
  <si>
    <t>大西 一平</t>
  </si>
  <si>
    <t>224420</t>
  </si>
  <si>
    <t>芝 大貴</t>
  </si>
  <si>
    <t>230227</t>
  </si>
  <si>
    <t>二宮 雄斗</t>
  </si>
  <si>
    <t>253185</t>
  </si>
  <si>
    <t>山本 祐</t>
  </si>
  <si>
    <t>189082</t>
  </si>
  <si>
    <t>113205</t>
  </si>
  <si>
    <t>194059</t>
  </si>
  <si>
    <t>越打 祐司</t>
  </si>
  <si>
    <t>223124</t>
  </si>
  <si>
    <t>竹部 辰彦</t>
  </si>
  <si>
    <t>253518</t>
  </si>
  <si>
    <t>土田 真也</t>
  </si>
  <si>
    <t>209045</t>
  </si>
  <si>
    <t>100175</t>
  </si>
  <si>
    <t>200703</t>
  </si>
  <si>
    <t>北川 優哉</t>
  </si>
  <si>
    <t>203210</t>
  </si>
  <si>
    <t>東内 龍弥</t>
  </si>
  <si>
    <t>224000</t>
  </si>
  <si>
    <t>中村 和磨</t>
  </si>
  <si>
    <t>247115</t>
  </si>
  <si>
    <t>古澤 弥生</t>
  </si>
  <si>
    <t>150154</t>
  </si>
  <si>
    <t>150604</t>
  </si>
  <si>
    <t>増田 友也</t>
  </si>
  <si>
    <t>077415</t>
  </si>
  <si>
    <t>233415</t>
  </si>
  <si>
    <t>小山 源貴</t>
  </si>
  <si>
    <t>243605</t>
  </si>
  <si>
    <t>西村 亮海</t>
  </si>
  <si>
    <t>970613</t>
  </si>
  <si>
    <t>岩瀧 正文</t>
  </si>
  <si>
    <t>061230</t>
  </si>
  <si>
    <t>望月 真吾</t>
  </si>
  <si>
    <t>073631</t>
  </si>
  <si>
    <t>050483</t>
  </si>
  <si>
    <t>福原 康徳</t>
  </si>
  <si>
    <t>183866</t>
  </si>
  <si>
    <t>223469</t>
  </si>
  <si>
    <t>榊原 一聡</t>
  </si>
  <si>
    <t>253680</t>
  </si>
  <si>
    <t>中川 卓哉</t>
  </si>
  <si>
    <t>069004</t>
  </si>
  <si>
    <t>073729</t>
  </si>
  <si>
    <t>173285</t>
  </si>
  <si>
    <t>213338</t>
  </si>
  <si>
    <t>上村 政樹</t>
  </si>
  <si>
    <t>223427</t>
  </si>
  <si>
    <t>住本 智紀</t>
  </si>
  <si>
    <t>254452</t>
  </si>
  <si>
    <t>松浦 遼</t>
  </si>
  <si>
    <t>257190</t>
  </si>
  <si>
    <t>山﨑 朋子</t>
  </si>
  <si>
    <t>123424</t>
  </si>
  <si>
    <t>213862</t>
  </si>
  <si>
    <t>吉井 翔太</t>
  </si>
  <si>
    <t>234085</t>
  </si>
  <si>
    <t>力谷 優輝</t>
  </si>
  <si>
    <t>217109</t>
  </si>
  <si>
    <t>051659</t>
  </si>
  <si>
    <t>松村 良規</t>
  </si>
  <si>
    <t>133193</t>
  </si>
  <si>
    <t>203164</t>
  </si>
  <si>
    <t>243520</t>
  </si>
  <si>
    <t>丸山 敬</t>
  </si>
  <si>
    <t>233314</t>
  </si>
  <si>
    <t>上間 隆司</t>
  </si>
  <si>
    <t>189138</t>
  </si>
  <si>
    <t>183228</t>
  </si>
  <si>
    <t>194495</t>
  </si>
  <si>
    <t>久保田 龍</t>
  </si>
  <si>
    <t>254029</t>
  </si>
  <si>
    <t>三宅 諒</t>
  </si>
  <si>
    <t>009028</t>
  </si>
  <si>
    <t>163095</t>
  </si>
  <si>
    <t>199009</t>
  </si>
  <si>
    <t>頼実 梨奈</t>
  </si>
  <si>
    <t>073484</t>
  </si>
  <si>
    <t>173386</t>
  </si>
  <si>
    <t>193593</t>
  </si>
  <si>
    <t>189095</t>
  </si>
  <si>
    <t>213048</t>
  </si>
  <si>
    <t>230272</t>
  </si>
  <si>
    <t>渡邊 諒</t>
  </si>
  <si>
    <t>239077</t>
  </si>
  <si>
    <t>平岡 美仁子</t>
  </si>
  <si>
    <t>061911</t>
  </si>
  <si>
    <t>213426</t>
  </si>
  <si>
    <t>宮岡 和輝</t>
  </si>
  <si>
    <t>254146</t>
  </si>
  <si>
    <t>河村 巧太</t>
  </si>
  <si>
    <t>039004</t>
  </si>
  <si>
    <t>133265</t>
  </si>
  <si>
    <t>041166</t>
  </si>
  <si>
    <t>三上 忠幹</t>
  </si>
  <si>
    <t>233792</t>
  </si>
  <si>
    <t>中川 裕太</t>
  </si>
  <si>
    <t>257174</t>
  </si>
  <si>
    <t>守屋 千恵</t>
  </si>
  <si>
    <t>140052</t>
  </si>
  <si>
    <t>新谷 英也</t>
  </si>
  <si>
    <t>224013</t>
  </si>
  <si>
    <t>内山 達貴</t>
  </si>
  <si>
    <t>189079</t>
  </si>
  <si>
    <t>000114</t>
  </si>
  <si>
    <t>平澤 哲也</t>
  </si>
  <si>
    <t>045445</t>
  </si>
  <si>
    <t>高宮 博光</t>
  </si>
  <si>
    <t>045461</t>
  </si>
  <si>
    <t>中川 誠</t>
  </si>
  <si>
    <t>000042</t>
  </si>
  <si>
    <t>木村 聖一</t>
  </si>
  <si>
    <t>153472</t>
  </si>
  <si>
    <t>183026</t>
  </si>
  <si>
    <t>増木 義久</t>
  </si>
  <si>
    <t>153300</t>
  </si>
  <si>
    <t>浅元 良太</t>
  </si>
  <si>
    <t>183127</t>
  </si>
  <si>
    <t>233721</t>
  </si>
  <si>
    <t>横山 貴郁</t>
  </si>
  <si>
    <t>254117</t>
  </si>
  <si>
    <t>中谷 翔太</t>
  </si>
  <si>
    <t>089001</t>
  </si>
  <si>
    <t>173562</t>
  </si>
  <si>
    <t>163574</t>
  </si>
  <si>
    <t>村上 幸輝</t>
  </si>
  <si>
    <t>183446</t>
  </si>
  <si>
    <t>藤田 和幸</t>
  </si>
  <si>
    <t>059006</t>
  </si>
  <si>
    <t>173416</t>
  </si>
  <si>
    <t>979015</t>
  </si>
  <si>
    <t>140254</t>
  </si>
  <si>
    <t>193942</t>
  </si>
  <si>
    <t>大坪 充幸</t>
  </si>
  <si>
    <t>243618</t>
  </si>
  <si>
    <t>野嶋 俊輝</t>
  </si>
  <si>
    <t>159018</t>
  </si>
  <si>
    <t>073628</t>
  </si>
  <si>
    <t>113221</t>
  </si>
  <si>
    <t>223414</t>
  </si>
  <si>
    <t>豊増 凌</t>
  </si>
  <si>
    <t>254032</t>
  </si>
  <si>
    <t>中島 康博</t>
  </si>
  <si>
    <t>234160</t>
  </si>
  <si>
    <t>揚村 一斗</t>
  </si>
  <si>
    <t>253491</t>
  </si>
  <si>
    <t>堤 隼翔</t>
  </si>
  <si>
    <t>009025</t>
  </si>
  <si>
    <t>183736</t>
  </si>
  <si>
    <t>末安 輝士</t>
  </si>
  <si>
    <t>213035</t>
  </si>
  <si>
    <t>鈴木 自然</t>
  </si>
  <si>
    <t>244132</t>
  </si>
  <si>
    <t>安都間 聖矢</t>
  </si>
  <si>
    <t>153283</t>
  </si>
  <si>
    <t>233095</t>
  </si>
  <si>
    <t>住山 岳彬</t>
  </si>
  <si>
    <t>253664</t>
  </si>
  <si>
    <t>須川 晃次</t>
  </si>
  <si>
    <t>219020</t>
  </si>
  <si>
    <t>133018</t>
  </si>
  <si>
    <t>193870</t>
  </si>
  <si>
    <t>原 辰也</t>
  </si>
  <si>
    <t>224417</t>
  </si>
  <si>
    <t>松嶋 拓海</t>
  </si>
  <si>
    <t>253361</t>
  </si>
  <si>
    <t>杉永 和隆</t>
  </si>
  <si>
    <t>257103</t>
  </si>
  <si>
    <t>青木 奈津子</t>
  </si>
  <si>
    <t>083225</t>
  </si>
  <si>
    <t>223342</t>
  </si>
  <si>
    <t>嘉副 亨</t>
  </si>
  <si>
    <t>243865</t>
  </si>
  <si>
    <t>森 竜哉</t>
  </si>
  <si>
    <t>029012</t>
  </si>
  <si>
    <t>193939</t>
  </si>
  <si>
    <t>259011</t>
  </si>
  <si>
    <t>種田 杏子</t>
  </si>
  <si>
    <t>891862</t>
  </si>
  <si>
    <t>西村 直樹</t>
  </si>
  <si>
    <t>123121</t>
  </si>
  <si>
    <t>川又 英宏</t>
  </si>
  <si>
    <t>970453</t>
  </si>
  <si>
    <t>福永 亮</t>
  </si>
  <si>
    <t>982115</t>
  </si>
  <si>
    <t>岡崎 聡</t>
  </si>
  <si>
    <t>941280</t>
  </si>
  <si>
    <t>池原 康孝</t>
  </si>
  <si>
    <t>070733</t>
  </si>
  <si>
    <t>猪田 直哉</t>
  </si>
  <si>
    <t>910994</t>
  </si>
  <si>
    <t>竹村 安弘</t>
  </si>
  <si>
    <t>922757</t>
  </si>
  <si>
    <t>川東 裕幸</t>
  </si>
  <si>
    <t>972404</t>
  </si>
  <si>
    <t>山下 恵美</t>
  </si>
  <si>
    <t>974178</t>
  </si>
  <si>
    <t>前川 泰史</t>
  </si>
  <si>
    <t>047542</t>
  </si>
  <si>
    <t>小林 かおり</t>
  </si>
  <si>
    <t>070658</t>
  </si>
  <si>
    <t>酒井 敏行</t>
  </si>
  <si>
    <t>143341</t>
  </si>
  <si>
    <t>山下 雅史</t>
  </si>
  <si>
    <t>153238</t>
  </si>
  <si>
    <t>岸 篤志</t>
  </si>
  <si>
    <t>153397</t>
  </si>
  <si>
    <t>大戸 一平</t>
  </si>
  <si>
    <t>153401</t>
  </si>
  <si>
    <t>早稲田 遼</t>
  </si>
  <si>
    <t>153430</t>
  </si>
  <si>
    <t>柳原 裕貴</t>
  </si>
  <si>
    <t>183361</t>
  </si>
  <si>
    <t>中嶋 謙太</t>
  </si>
  <si>
    <t>183589</t>
  </si>
  <si>
    <t>今井 理人</t>
  </si>
  <si>
    <t>234287</t>
  </si>
  <si>
    <t>中 貴博</t>
  </si>
  <si>
    <t>243070</t>
  </si>
  <si>
    <t>原田 怜</t>
  </si>
  <si>
    <t>253912</t>
  </si>
  <si>
    <t>廣瀬 功弥</t>
  </si>
  <si>
    <t>905028</t>
  </si>
  <si>
    <t>森島 俊幸</t>
  </si>
  <si>
    <t>894210</t>
  </si>
  <si>
    <t>河野 世治</t>
  </si>
  <si>
    <t>900586</t>
  </si>
  <si>
    <t>大林 眞二</t>
  </si>
  <si>
    <t>123134</t>
  </si>
  <si>
    <t>高橋 靖</t>
  </si>
  <si>
    <t>237127</t>
  </si>
  <si>
    <t>青木 麻子</t>
  </si>
  <si>
    <t>237172</t>
  </si>
  <si>
    <t>松下 浩樹</t>
  </si>
  <si>
    <t>247069</t>
  </si>
  <si>
    <t>竹村 朱梨</t>
  </si>
  <si>
    <t>247144</t>
  </si>
  <si>
    <t>梶山 あや乃</t>
  </si>
  <si>
    <t>039005</t>
  </si>
  <si>
    <t>立原 雅美</t>
  </si>
  <si>
    <t>007463</t>
  </si>
  <si>
    <t>北村 友美</t>
  </si>
  <si>
    <t>157357</t>
  </si>
  <si>
    <t>入江 美紀</t>
  </si>
  <si>
    <t>167257</t>
  </si>
  <si>
    <t>Silva Emily</t>
  </si>
  <si>
    <t>213657</t>
  </si>
  <si>
    <t>川北 厳己</t>
  </si>
  <si>
    <t>840806</t>
  </si>
  <si>
    <t>小林 靖</t>
  </si>
  <si>
    <t>860332</t>
  </si>
  <si>
    <t>三谷 博久</t>
  </si>
  <si>
    <t>860648</t>
  </si>
  <si>
    <t>田中 不二男</t>
  </si>
  <si>
    <t>971502</t>
  </si>
  <si>
    <t>古賀 祐介</t>
  </si>
  <si>
    <t>061807</t>
  </si>
  <si>
    <t>豊川 博之</t>
  </si>
  <si>
    <t>922210</t>
  </si>
  <si>
    <t>小橋 宏</t>
  </si>
  <si>
    <t>143396</t>
  </si>
  <si>
    <t>加藤 雅基</t>
  </si>
  <si>
    <t>061562</t>
  </si>
  <si>
    <t>小林 幹幸</t>
  </si>
  <si>
    <t>183651</t>
  </si>
  <si>
    <t>山内 翔矢</t>
  </si>
  <si>
    <t>203018</t>
  </si>
  <si>
    <t>青山 直樹</t>
  </si>
  <si>
    <t>253215</t>
  </si>
  <si>
    <t>屋代 健太</t>
  </si>
  <si>
    <t>133177</t>
  </si>
  <si>
    <t>中善寺 雅人</t>
  </si>
  <si>
    <t>061647</t>
  </si>
  <si>
    <t>辰己 豊</t>
  </si>
  <si>
    <t>910402</t>
  </si>
  <si>
    <t>片岡 建一郎</t>
  </si>
  <si>
    <t>890739</t>
  </si>
  <si>
    <t>羽田 明弘</t>
  </si>
  <si>
    <t>911809</t>
  </si>
  <si>
    <t>中岸 忍</t>
  </si>
  <si>
    <t>974051</t>
  </si>
  <si>
    <t>神藤 泰成</t>
  </si>
  <si>
    <t>173575</t>
  </si>
  <si>
    <t>林 大貴</t>
  </si>
  <si>
    <t>961194</t>
  </si>
  <si>
    <t>070313</t>
  </si>
  <si>
    <t>三宅 孝典</t>
  </si>
  <si>
    <t>070850</t>
  </si>
  <si>
    <t>松田 尭明</t>
  </si>
  <si>
    <t>213833</t>
  </si>
  <si>
    <t>広沢 敏之</t>
  </si>
  <si>
    <t>223980</t>
  </si>
  <si>
    <t>伊佐地 賢大</t>
  </si>
  <si>
    <t>224039</t>
  </si>
  <si>
    <t>武藤 浩章</t>
  </si>
  <si>
    <t>253172</t>
  </si>
  <si>
    <t>矢田部 彩香</t>
  </si>
  <si>
    <t>253260</t>
  </si>
  <si>
    <t>吉村 仁志</t>
  </si>
  <si>
    <t>914459</t>
  </si>
  <si>
    <t>山口 歩</t>
  </si>
  <si>
    <t>083313</t>
  </si>
  <si>
    <t>佐藤 輔</t>
  </si>
  <si>
    <t>153414</t>
  </si>
  <si>
    <t>073439</t>
  </si>
  <si>
    <t>小垂 学</t>
  </si>
  <si>
    <t>173269</t>
  </si>
  <si>
    <t>荻田 大夢</t>
  </si>
  <si>
    <t>233356</t>
  </si>
  <si>
    <t>土井 政輝</t>
  </si>
  <si>
    <t>951409</t>
  </si>
  <si>
    <t>阿部 吉朗</t>
  </si>
  <si>
    <t>901837</t>
  </si>
  <si>
    <t>守永 新一</t>
  </si>
  <si>
    <t>971586</t>
  </si>
  <si>
    <t>吉田 功</t>
  </si>
  <si>
    <t>087302</t>
  </si>
  <si>
    <t>小森 美沙</t>
  </si>
  <si>
    <t>037235</t>
  </si>
  <si>
    <t>山本 美由紀</t>
  </si>
  <si>
    <t>924492</t>
  </si>
  <si>
    <t>服部 幸夫</t>
  </si>
  <si>
    <t>922425</t>
  </si>
  <si>
    <t>上田 雅弘</t>
  </si>
  <si>
    <t>045676</t>
  </si>
  <si>
    <t>塚越 琢慈</t>
  </si>
  <si>
    <t>183257</t>
  </si>
  <si>
    <t>清水 健</t>
  </si>
  <si>
    <t>941408</t>
  </si>
  <si>
    <t>前田 昌之</t>
  </si>
  <si>
    <t>123147</t>
  </si>
  <si>
    <t>大庭 国夫</t>
  </si>
  <si>
    <t>820527</t>
  </si>
  <si>
    <t>兼田 善博</t>
  </si>
  <si>
    <t>073716</t>
  </si>
  <si>
    <t>原田 俊幸</t>
  </si>
  <si>
    <t>045142</t>
  </si>
  <si>
    <t>塚田 良文</t>
  </si>
  <si>
    <t>880855</t>
  </si>
  <si>
    <t>江口 健一郎</t>
  </si>
  <si>
    <t>890090</t>
  </si>
  <si>
    <t>内堀 勝弘</t>
  </si>
  <si>
    <t>974253</t>
  </si>
  <si>
    <t>森田 あゆみ</t>
  </si>
  <si>
    <t>143426</t>
  </si>
  <si>
    <t>澤口 和也</t>
  </si>
  <si>
    <t>097547</t>
  </si>
  <si>
    <t>水野 敬也</t>
  </si>
  <si>
    <t>234069</t>
  </si>
  <si>
    <t>泰井 賢一</t>
  </si>
  <si>
    <t>913632</t>
  </si>
  <si>
    <t>横山 文秀</t>
  </si>
  <si>
    <t>153270</t>
  </si>
  <si>
    <t>北本 幸治</t>
  </si>
  <si>
    <t>133021</t>
  </si>
  <si>
    <t>河野 敦士</t>
  </si>
  <si>
    <t>080587</t>
  </si>
  <si>
    <t>久田 亮</t>
  </si>
  <si>
    <t>090559</t>
  </si>
  <si>
    <t>大野 圭介</t>
  </si>
  <si>
    <t>060325</t>
  </si>
  <si>
    <t>山本 浩司</t>
  </si>
  <si>
    <t>193577</t>
  </si>
  <si>
    <t>王 晶晨</t>
  </si>
  <si>
    <t>197032</t>
  </si>
  <si>
    <t>西尾 真理子</t>
  </si>
  <si>
    <t>045458</t>
  </si>
  <si>
    <t>045272</t>
  </si>
  <si>
    <t>鮎沢 将夫</t>
  </si>
  <si>
    <t>173331</t>
  </si>
  <si>
    <t>木島 庸介</t>
  </si>
  <si>
    <t>045184</t>
  </si>
  <si>
    <t>功刀 信一</t>
  </si>
  <si>
    <t>045429</t>
  </si>
  <si>
    <t>奥村 真</t>
  </si>
  <si>
    <t>020318</t>
  </si>
  <si>
    <t>高桑 啓介</t>
  </si>
  <si>
    <t>170273</t>
  </si>
  <si>
    <t>林 真帆</t>
  </si>
  <si>
    <t>971339</t>
  </si>
  <si>
    <t>岡嶋 伸二</t>
  </si>
  <si>
    <t>180304</t>
  </si>
  <si>
    <t>松山 順一朗</t>
  </si>
  <si>
    <t>180391</t>
  </si>
  <si>
    <t>二宮 隆志</t>
  </si>
  <si>
    <t>020536</t>
  </si>
  <si>
    <t>千田 英美</t>
  </si>
  <si>
    <t>170736</t>
  </si>
  <si>
    <t>坂野 智彬</t>
  </si>
  <si>
    <t>200888</t>
  </si>
  <si>
    <t>上神田 栄司</t>
  </si>
  <si>
    <t>233473</t>
  </si>
  <si>
    <t>LEE JONGHYUN</t>
  </si>
  <si>
    <t>243588</t>
  </si>
  <si>
    <t>袁 宇希</t>
  </si>
  <si>
    <t>210326</t>
  </si>
  <si>
    <t>VAN TUAN MANH</t>
  </si>
  <si>
    <t>213745</t>
  </si>
  <si>
    <t>猪田 大輝</t>
  </si>
  <si>
    <t>220271</t>
  </si>
  <si>
    <t>奥田 大樹</t>
  </si>
  <si>
    <t>220473</t>
  </si>
  <si>
    <t>大木 隼人</t>
  </si>
  <si>
    <t>220750</t>
  </si>
  <si>
    <t>Le TrungTin</t>
  </si>
  <si>
    <t>233200</t>
  </si>
  <si>
    <t>嶋口 大輝</t>
  </si>
  <si>
    <t>880653</t>
  </si>
  <si>
    <t>片山 大助</t>
  </si>
  <si>
    <t>083401</t>
  </si>
  <si>
    <t>黒澤 文博</t>
  </si>
  <si>
    <t>850559</t>
  </si>
  <si>
    <t>長縄 和彦</t>
  </si>
  <si>
    <t>921116</t>
  </si>
  <si>
    <t>小川 泰孝</t>
  </si>
  <si>
    <t>890638</t>
  </si>
  <si>
    <t>宗方 辰三</t>
  </si>
  <si>
    <t>981314</t>
  </si>
  <si>
    <t>星野 賢史</t>
  </si>
  <si>
    <t>227100</t>
  </si>
  <si>
    <t>加藤 有紗</t>
  </si>
  <si>
    <t>073817</t>
  </si>
  <si>
    <t>信田 直樹</t>
  </si>
  <si>
    <t>203265</t>
  </si>
  <si>
    <t>清水 摩耶</t>
  </si>
  <si>
    <t>914648</t>
  </si>
  <si>
    <t>鈴木 友恵</t>
  </si>
  <si>
    <t>163499</t>
  </si>
  <si>
    <t>越智 隆行</t>
  </si>
  <si>
    <t>180551</t>
  </si>
  <si>
    <t>水垣 歓奈</t>
  </si>
  <si>
    <t>203021</t>
  </si>
  <si>
    <t>箱田 恵美</t>
  </si>
  <si>
    <t>213064</t>
  </si>
  <si>
    <t>是枝 直樹</t>
  </si>
  <si>
    <t>223140</t>
  </si>
  <si>
    <t>川﨑 正義</t>
  </si>
  <si>
    <t>180405</t>
  </si>
  <si>
    <t>山本 哲也</t>
  </si>
  <si>
    <t>970570</t>
  </si>
  <si>
    <t>伊柳 博</t>
  </si>
  <si>
    <t>931117</t>
  </si>
  <si>
    <t>大倉 興士</t>
  </si>
  <si>
    <t>065320</t>
  </si>
  <si>
    <t>宇田川 晃一</t>
  </si>
  <si>
    <t>060080</t>
  </si>
  <si>
    <t>藤田 剛</t>
  </si>
  <si>
    <t>073110</t>
  </si>
  <si>
    <t>山本 貴之</t>
  </si>
  <si>
    <t>224130</t>
  </si>
  <si>
    <t>早川 真史</t>
  </si>
  <si>
    <t>254090</t>
  </si>
  <si>
    <t>橋本 聡</t>
  </si>
  <si>
    <t>810568</t>
  </si>
  <si>
    <t>信田 一徳</t>
  </si>
  <si>
    <t>920823</t>
  </si>
  <si>
    <t>野本 貴右</t>
  </si>
  <si>
    <t>870753</t>
  </si>
  <si>
    <t>上間 健</t>
  </si>
  <si>
    <t>870551</t>
  </si>
  <si>
    <t>土橋 洋一</t>
  </si>
  <si>
    <t>931641</t>
  </si>
  <si>
    <t>片山 博司</t>
  </si>
  <si>
    <t>962399</t>
  </si>
  <si>
    <t>鈴木 和美</t>
  </si>
  <si>
    <t>977281</t>
  </si>
  <si>
    <t>横関 浩代</t>
  </si>
  <si>
    <t>962937</t>
  </si>
  <si>
    <t>熊谷 香子</t>
  </si>
  <si>
    <t>175207</t>
  </si>
  <si>
    <t>ブラドリー 聡子</t>
  </si>
  <si>
    <t>893800</t>
  </si>
  <si>
    <t>五十嵐 道男</t>
  </si>
  <si>
    <t>892777</t>
  </si>
  <si>
    <t>日暮 秀明</t>
  </si>
  <si>
    <t>905725</t>
  </si>
  <si>
    <t>鳶田 巧治</t>
  </si>
  <si>
    <t>871150</t>
  </si>
  <si>
    <t>安藤 富士雄</t>
  </si>
  <si>
    <t>951281</t>
  </si>
  <si>
    <t>柿田 哲也</t>
  </si>
  <si>
    <t>045214</t>
  </si>
  <si>
    <t>遠藤 信二</t>
  </si>
  <si>
    <t>173315</t>
  </si>
  <si>
    <t>近藤 秀一</t>
  </si>
  <si>
    <t>163646</t>
  </si>
  <si>
    <t>原 伸浩</t>
  </si>
  <si>
    <t>224446</t>
  </si>
  <si>
    <t>宮﨑 貴広</t>
  </si>
  <si>
    <t>914983</t>
  </si>
  <si>
    <t>横井 隆</t>
  </si>
  <si>
    <t>920197</t>
  </si>
  <si>
    <t>福田 康宏</t>
  </si>
  <si>
    <t>973928</t>
  </si>
  <si>
    <t>袴塚 健司</t>
  </si>
  <si>
    <t>902146</t>
  </si>
  <si>
    <t>051747</t>
  </si>
  <si>
    <t>永田 朝太郎</t>
  </si>
  <si>
    <t>981503</t>
  </si>
  <si>
    <t>村西 純</t>
  </si>
  <si>
    <t>067427</t>
  </si>
  <si>
    <t>宮本 結奈</t>
  </si>
  <si>
    <t>067065</t>
  </si>
  <si>
    <t>外池 智子</t>
  </si>
  <si>
    <t>073699</t>
  </si>
  <si>
    <t>村井 健司</t>
  </si>
  <si>
    <t>233343</t>
  </si>
  <si>
    <t>刀禰 拓哉</t>
  </si>
  <si>
    <t>253316</t>
  </si>
  <si>
    <t>久貝 大樹</t>
  </si>
  <si>
    <t>250014</t>
  </si>
  <si>
    <t>桐原 朋由</t>
  </si>
  <si>
    <t>250069</t>
  </si>
  <si>
    <t>鼻崎 雅大</t>
  </si>
  <si>
    <t>250157</t>
  </si>
  <si>
    <t>田中 裕人</t>
  </si>
  <si>
    <t>250476</t>
  </si>
  <si>
    <t>小林 正幹</t>
  </si>
  <si>
    <t>250535</t>
  </si>
  <si>
    <t>中村 珠元</t>
  </si>
  <si>
    <t>250564</t>
  </si>
  <si>
    <t>山本 航</t>
  </si>
  <si>
    <t>177421</t>
  </si>
  <si>
    <t>山口 万樹子</t>
  </si>
  <si>
    <t>000101</t>
  </si>
  <si>
    <t>坂本 彰</t>
  </si>
  <si>
    <t>027276</t>
  </si>
  <si>
    <t>室屋 里江子</t>
  </si>
  <si>
    <t>951193</t>
  </si>
  <si>
    <t>宮﨑 隆</t>
  </si>
  <si>
    <t>150170</t>
  </si>
  <si>
    <t>林 克弥</t>
  </si>
  <si>
    <t>197191</t>
  </si>
  <si>
    <t>古館 亜美</t>
  </si>
  <si>
    <t>741138</t>
  </si>
  <si>
    <t>江崎 昌弘</t>
  </si>
  <si>
    <t>830270</t>
  </si>
  <si>
    <t>山崎 雄</t>
  </si>
  <si>
    <t>061878</t>
  </si>
  <si>
    <t>工藤 真也</t>
  </si>
  <si>
    <t>223270</t>
  </si>
  <si>
    <t>市川 真</t>
  </si>
  <si>
    <t>223300</t>
  </si>
  <si>
    <t>本田 瑞綺</t>
  </si>
  <si>
    <t>243780</t>
  </si>
  <si>
    <t>山内 南海</t>
  </si>
  <si>
    <t>257002</t>
  </si>
  <si>
    <t>遠藤 祐紀</t>
  </si>
  <si>
    <t>183752</t>
  </si>
  <si>
    <t>石橋 雅史</t>
  </si>
  <si>
    <t>080604</t>
  </si>
  <si>
    <t>武田 英樹</t>
  </si>
  <si>
    <t>080369</t>
  </si>
  <si>
    <t>二摩 悟史</t>
  </si>
  <si>
    <t>213442</t>
  </si>
  <si>
    <t>深町 沙希</t>
  </si>
  <si>
    <t>217082</t>
  </si>
  <si>
    <t>原 百合</t>
  </si>
  <si>
    <t>090588</t>
  </si>
  <si>
    <t>山口 耕平</t>
  </si>
  <si>
    <t>170811</t>
  </si>
  <si>
    <t>鈴木 雅也</t>
  </si>
  <si>
    <t>173719</t>
  </si>
  <si>
    <t>吉川 潤一</t>
  </si>
  <si>
    <t>194365</t>
  </si>
  <si>
    <t>松本 竜一</t>
  </si>
  <si>
    <t>910910</t>
  </si>
  <si>
    <t>三枝 一雄</t>
  </si>
  <si>
    <t>153616</t>
  </si>
  <si>
    <t>川野 淳士</t>
  </si>
  <si>
    <t>233053</t>
  </si>
  <si>
    <t>井本 隆</t>
  </si>
  <si>
    <t>061331</t>
  </si>
  <si>
    <t>宇田 仁一</t>
  </si>
  <si>
    <t>045155</t>
  </si>
  <si>
    <t>小澤 一満</t>
  </si>
  <si>
    <t>173461</t>
  </si>
  <si>
    <t>松永 学</t>
  </si>
  <si>
    <t>243272</t>
  </si>
  <si>
    <t>杉下 朋輝</t>
  </si>
  <si>
    <t>230865</t>
  </si>
  <si>
    <t>近藤 大将</t>
  </si>
  <si>
    <t>020435</t>
  </si>
  <si>
    <t>片桐 貴久</t>
  </si>
  <si>
    <t>870766</t>
  </si>
  <si>
    <t>土屋 浅夫</t>
  </si>
  <si>
    <t>891370</t>
  </si>
  <si>
    <t>徳田 裕士</t>
  </si>
  <si>
    <t>911098</t>
  </si>
  <si>
    <t>馬場 賢史</t>
  </si>
  <si>
    <t>180346</t>
  </si>
  <si>
    <t>藤原 一槻</t>
  </si>
  <si>
    <t>213888</t>
  </si>
  <si>
    <t>森岡 奈央人</t>
  </si>
  <si>
    <t>224332</t>
  </si>
  <si>
    <t>池澤 義文</t>
  </si>
  <si>
    <t>971964</t>
  </si>
  <si>
    <t>犬塚 仁</t>
  </si>
  <si>
    <t>183794</t>
  </si>
  <si>
    <t>仲田 紀輝</t>
  </si>
  <si>
    <t>083472</t>
  </si>
  <si>
    <t>野村 誠</t>
  </si>
  <si>
    <t>173780</t>
  </si>
  <si>
    <t>大島 裕司</t>
  </si>
  <si>
    <t>187305</t>
  </si>
  <si>
    <t>松尾 亜衣</t>
  </si>
  <si>
    <t>233545</t>
  </si>
  <si>
    <t>松永 拓也</t>
  </si>
  <si>
    <t>971616</t>
  </si>
  <si>
    <t>竹谷 銀一郎</t>
  </si>
  <si>
    <t>051040</t>
  </si>
  <si>
    <t>小野 竜也</t>
  </si>
  <si>
    <t>203193</t>
  </si>
  <si>
    <t>浅井 健太</t>
  </si>
  <si>
    <t>861090</t>
  </si>
  <si>
    <t>若林 正樹</t>
  </si>
  <si>
    <t>140081</t>
  </si>
  <si>
    <t>浅原 昴範</t>
  </si>
  <si>
    <t>150385</t>
  </si>
  <si>
    <t>林 諒子</t>
  </si>
  <si>
    <t>160399</t>
  </si>
  <si>
    <t>三川 友輝朗</t>
  </si>
  <si>
    <t>213325</t>
  </si>
  <si>
    <t>中村 勇貴</t>
  </si>
  <si>
    <t>223254</t>
  </si>
  <si>
    <t>中井 勇亮</t>
  </si>
  <si>
    <t>233024</t>
  </si>
  <si>
    <t>豊嶋 菜摘</t>
  </si>
  <si>
    <t>160676</t>
  </si>
  <si>
    <t>青山 洋一</t>
  </si>
  <si>
    <t>217167</t>
  </si>
  <si>
    <t>辻 直美</t>
  </si>
  <si>
    <t>217008</t>
  </si>
  <si>
    <t>小林 麻衣</t>
  </si>
  <si>
    <t>220806</t>
  </si>
  <si>
    <t>山口 晃央</t>
  </si>
  <si>
    <t>233659</t>
  </si>
  <si>
    <t>野堀 花恵</t>
  </si>
  <si>
    <t>973481</t>
  </si>
  <si>
    <t>柴崎 直紀</t>
  </si>
  <si>
    <t>160461</t>
  </si>
  <si>
    <t>野村 七海</t>
  </si>
  <si>
    <t>187347</t>
  </si>
  <si>
    <t>小林 彩子</t>
  </si>
  <si>
    <t>227012</t>
  </si>
  <si>
    <t>浜田 章弘</t>
  </si>
  <si>
    <t>189053</t>
  </si>
  <si>
    <t>海保 幸恵</t>
  </si>
  <si>
    <t>061070</t>
  </si>
  <si>
    <t>園部 隆治</t>
  </si>
  <si>
    <t>097244</t>
  </si>
  <si>
    <t>荒武 由美</t>
  </si>
  <si>
    <t>170358</t>
  </si>
  <si>
    <t>西澤 裕美</t>
  </si>
  <si>
    <t>217170</t>
  </si>
  <si>
    <t>西岡 加織</t>
  </si>
  <si>
    <t>217183</t>
  </si>
  <si>
    <t>貫 有紀</t>
  </si>
  <si>
    <r>
      <t>ＩＬ工事Ｓ　品質Ｇ　１Ｔ</t>
    </r>
    <r>
      <rPr>
        <sz val="11"/>
        <color rgb="FFFF0000"/>
        <rFont val="Meiryo UI"/>
        <family val="3"/>
        <charset val="128"/>
      </rPr>
      <t>（野田）</t>
    </r>
    <rPh sb="13" eb="15">
      <t>ノダ</t>
    </rPh>
    <phoneticPr fontId="31"/>
  </si>
  <si>
    <r>
      <t>ＩＬ工事Ｓ　品質Ｇ　１Ｔ</t>
    </r>
    <r>
      <rPr>
        <sz val="11"/>
        <color rgb="FFFF0000"/>
        <rFont val="Meiryo UI"/>
        <family val="3"/>
        <charset val="128"/>
      </rPr>
      <t>（田町）</t>
    </r>
    <rPh sb="13" eb="15">
      <t>タマチ</t>
    </rPh>
    <phoneticPr fontId="31"/>
  </si>
  <si>
    <t>川越ＣＳ</t>
  </si>
  <si>
    <t>久喜ＣＳ</t>
  </si>
  <si>
    <t>野田ＣＳ</t>
  </si>
  <si>
    <t>南大阪ＣＳ</t>
  </si>
  <si>
    <t>奈良ＣＳ</t>
  </si>
  <si>
    <t>仙台ＣＳ</t>
    <phoneticPr fontId="4"/>
  </si>
  <si>
    <t>盛岡ＣＳ</t>
    <phoneticPr fontId="4"/>
  </si>
  <si>
    <t>新潟ＣＳ</t>
    <phoneticPr fontId="4"/>
  </si>
  <si>
    <t>栃木第1ＣＳ</t>
  </si>
  <si>
    <t>流山第1ＣＳ</t>
  </si>
  <si>
    <t>つくば第1ＣＳ</t>
  </si>
  <si>
    <t>草加第1ＣＳ</t>
  </si>
  <si>
    <t>東京第1ＣＳ</t>
  </si>
  <si>
    <t>千葉第1ＣＳ</t>
  </si>
  <si>
    <t>成田第1ＣＳ</t>
  </si>
  <si>
    <t>市川第1ＣＳ</t>
  </si>
  <si>
    <t>横浜第1ＣＳ</t>
  </si>
  <si>
    <t>中部第1ＣＳ</t>
  </si>
  <si>
    <t>南名古屋第1ＣＳ</t>
  </si>
  <si>
    <t>三重第1ＣＳ</t>
  </si>
  <si>
    <t>大阪第1ＣＳ</t>
  </si>
  <si>
    <t>北大阪第1ＣＳ</t>
  </si>
  <si>
    <t>茨木第1ＣＳ</t>
  </si>
  <si>
    <t>滋賀第1ＣＳ</t>
  </si>
  <si>
    <t>神戸第1ＣＳ</t>
  </si>
  <si>
    <t>水島第1ＣＳ</t>
  </si>
  <si>
    <t>鳥栖第1ＣＳ</t>
  </si>
  <si>
    <t>栃木第2ＣＳ</t>
  </si>
  <si>
    <t>流山第2ＣＳ</t>
  </si>
  <si>
    <t>つくば第2ＣＳ</t>
  </si>
  <si>
    <t>草加第2ＣＳ</t>
  </si>
  <si>
    <t>東京第2ＣＳ</t>
  </si>
  <si>
    <t>千葉第2ＣＳ</t>
  </si>
  <si>
    <t>成田第2ＣＳ</t>
  </si>
  <si>
    <t>市川第2ＣＳ</t>
  </si>
  <si>
    <t>横浜第2ＣＳ</t>
  </si>
  <si>
    <t>中部第2ＣＳ</t>
  </si>
  <si>
    <t>南名古屋第2ＣＳ</t>
  </si>
  <si>
    <t>三重第2ＣＳ</t>
  </si>
  <si>
    <t>大阪第2ＣＳ</t>
  </si>
  <si>
    <t>北大阪第2ＣＳ</t>
  </si>
  <si>
    <t>茨木第2ＣＳ</t>
  </si>
  <si>
    <t>滋賀第2ＣＳ</t>
  </si>
  <si>
    <t>神戸第2ＣＳ</t>
  </si>
  <si>
    <t>水島第2ＣＳ</t>
  </si>
  <si>
    <t>鳥栖第2ＣＳ</t>
  </si>
  <si>
    <t>横浜第3ＣＳ</t>
  </si>
  <si>
    <t>中部第3ＣＳ</t>
  </si>
  <si>
    <t>神戸第3ＣＳ</t>
  </si>
  <si>
    <t>青柳 梢</t>
  </si>
  <si>
    <t>青柳 梢</t>
    <phoneticPr fontId="4"/>
  </si>
  <si>
    <t>小俣 麗</t>
    <phoneticPr fontId="4"/>
  </si>
  <si>
    <t>原 久美子</t>
    <phoneticPr fontId="4"/>
  </si>
  <si>
    <t>重野 紀子</t>
  </si>
  <si>
    <t>m15714</t>
    <phoneticPr fontId="4"/>
  </si>
  <si>
    <t>南名古屋第2</t>
    <rPh sb="0" eb="4">
      <t>ミナミナゴヤ</t>
    </rPh>
    <rPh sb="4" eb="5">
      <t>ダイ</t>
    </rPh>
    <phoneticPr fontId="4"/>
  </si>
  <si>
    <t>m16787</t>
    <phoneticPr fontId="4"/>
  </si>
  <si>
    <t>つくば第2</t>
    <rPh sb="3" eb="4">
      <t>ダイ</t>
    </rPh>
    <phoneticPr fontId="4"/>
  </si>
  <si>
    <t>m16590</t>
    <phoneticPr fontId="4"/>
  </si>
  <si>
    <t>千葉第2</t>
    <rPh sb="0" eb="2">
      <t>チバ</t>
    </rPh>
    <rPh sb="2" eb="3">
      <t>ダイ</t>
    </rPh>
    <phoneticPr fontId="4"/>
  </si>
  <si>
    <t>m13642</t>
    <phoneticPr fontId="4"/>
  </si>
  <si>
    <t>松本</t>
    <rPh sb="0" eb="2">
      <t>マツモト</t>
    </rPh>
    <phoneticPr fontId="4"/>
  </si>
  <si>
    <t>端 泰志(Yasushi HATA) &lt;yasushi_hata@ha.daifuku.co.jp&gt;</t>
  </si>
  <si>
    <t xml:space="preserve"> 三原 靖弘(Yasuhiro MIHARA) &lt;yasuhiro_mihara@ha.daifuku.co.jp&gt;</t>
  </si>
  <si>
    <t xml:space="preserve"> 早川 直希(Naoki HAYAKAWA) &lt;naoki_hayakawa@ha.daifuku.co.jp&gt;</t>
  </si>
  <si>
    <t xml:space="preserve"> 山内 光夫(Mitsuo YAMAUCHI) &lt;mitsuo_yamauchi@ha.daifuku.co.jp&gt;</t>
  </si>
  <si>
    <t xml:space="preserve"> 細木 諒平(Ryouhei HOSOKI) &lt;ryouhei_hosoki@ha.daifuku.co.jp&gt;</t>
  </si>
  <si>
    <t xml:space="preserve"> 大河内 勇(Yu OKOUCHI) &lt;yu_okouchi@ha.daifuku.co.jp&gt;</t>
  </si>
  <si>
    <t xml:space="preserve"> 梁取 優貴(Yuuki YANADORI) &lt;yuuki_yanadori@ha.daifuku.co.jp&gt;</t>
  </si>
  <si>
    <t xml:space="preserve"> 小亦 志興(Motoki KOMATA) &lt;motoki_komata@ha.daifuku.co.jp&gt;</t>
  </si>
  <si>
    <t xml:space="preserve"> 太田 雅博(Masahiro OOTA) &lt;masahiro_oota@ha.daifuku.co.jp&gt;</t>
  </si>
  <si>
    <t xml:space="preserve"> 古谷野 卓弥(Takuya KOYANO) &lt;takuya_koyano@ha.daifuku.co.jp&gt;</t>
  </si>
  <si>
    <t xml:space="preserve"> 日向 翔吾(Syougo HINATA) &lt;syougo_hinata@ha.daifuku.co.jp&gt;</t>
  </si>
  <si>
    <t xml:space="preserve"> 松永 元気(Genki MATSUNAGA) &lt;genki_matsunaga@ha.daifuku.co.jp&gt;</t>
  </si>
  <si>
    <t xml:space="preserve"> 重村 和矢(Kazuya SHIGEMURA) &lt;kazuya_shigemura@ha.daifuku.co.jp&gt;</t>
  </si>
  <si>
    <t xml:space="preserve"> 藤井 基晴(Motoharu FUJII) &lt;motoharu_fujii@ha.daifuku.co.jp&gt;</t>
  </si>
  <si>
    <t xml:space="preserve"> 増田 侑規(Yuki MASUDA) &lt;yuki_masuda@ha.daifuku.co.jp&gt;</t>
  </si>
  <si>
    <t xml:space="preserve"> 大谷 真人(Masato OOTANI) &lt;masato_ootani@ha.daifuku.co.jp&gt;</t>
  </si>
  <si>
    <t xml:space="preserve"> 曽我部 寛之(Hiroyuki SOGABE) &lt;hiroyuki_sogabe@ha.daifuku.co.jp&gt;</t>
  </si>
  <si>
    <t xml:space="preserve"> 増渕 博巳(Hiromi MASUBUCHI) &lt;hiromi_masubuchi@ha.daifuku.co.jp&gt;</t>
  </si>
  <si>
    <t xml:space="preserve"> 菊田 武伸(Takenobu KIKUTA) &lt;takenobu_kikuta@ha.daifuku.co.jp&gt;</t>
  </si>
  <si>
    <t xml:space="preserve"> 浅野 喬行(Takayuki ASANO) &lt;takayuki_asano@ha.daifuku.co.jp&gt;</t>
  </si>
  <si>
    <t xml:space="preserve"> 下山 司(Tsukasa SHIMOYAMA) &lt;tsukasa_shimoyama@ha.daifuku.co.jp&gt;</t>
  </si>
  <si>
    <t xml:space="preserve"> 西田 航(Wataru NISHIDA) &lt;wataru_nishida@ha.daifuku.co.jp&gt;</t>
  </si>
  <si>
    <t xml:space="preserve"> 大矢 恭平(Kyouhei OYA) &lt;kyouhei_oya@ha.daifuku.co.jp&gt;</t>
  </si>
  <si>
    <t xml:space="preserve"> 大朝 洋平(Youhei OOTOMO) &lt;youhei_ootomo@ha.daifuku.co.jp&gt;</t>
  </si>
  <si>
    <t xml:space="preserve"> 田村 大樹(Hiroki TAMURA) &lt;hiroki_tamura@ha.daifuku.co.jp&gt;</t>
  </si>
  <si>
    <t xml:space="preserve"> 山下 賢(Ken YAMASHITA) &lt;ken_yamashita@ha.daifuku.co.jp&gt;</t>
  </si>
  <si>
    <t xml:space="preserve"> 古川 悠斗(Yuto FURUKAWA) &lt;yuto_furukawa@ha.daifuku.co.jp&gt;</t>
  </si>
  <si>
    <t xml:space="preserve"> 志村 航平(Kouhei SHIMURA) &lt;kouhei_shimura@ha.daifuku.co.jp&gt;</t>
  </si>
  <si>
    <t xml:space="preserve"> 川島 徹哉(Tetsuya KAWASHIMA) &lt;tetsuya_kawashima@ha.daifuku.co.jp&gt;</t>
  </si>
  <si>
    <t xml:space="preserve"> 丹下 将成(Masanari TANNGE) &lt;masanari_tannge@ha.daifuku.co.jp&gt;</t>
  </si>
  <si>
    <t xml:space="preserve"> 森 俊輔(Shunsuke MORI) &lt;shunsuke_mori@ha.daifuku.co.jp&gt;</t>
  </si>
  <si>
    <t xml:space="preserve"> 横田 暁(Akira YOKOTA) &lt;akira_yokota@ha.daifuku.co.jp&gt;</t>
  </si>
  <si>
    <t xml:space="preserve"> 島田 理基(Masaki SHIMADA) &lt;masaki_shimada@ha.daifuku.co.jp&gt;</t>
  </si>
  <si>
    <t xml:space="preserve"> 石井 湧人(Yuto ISHII) &lt;yuto_ishii@ha.daifuku.co.jp&gt;</t>
  </si>
  <si>
    <t xml:space="preserve"> 川本 亨(Akira KAWAMOTO) &lt;akira_kawamoto@ha.daifuku.co.jp&gt;</t>
  </si>
  <si>
    <t xml:space="preserve"> 坂本 浩基(Hiroki SAKAMOTO) &lt;hiroki_sakamoto-m1@ha.daifuku.co.jp&gt;</t>
  </si>
  <si>
    <t xml:space="preserve"> 浅川 宜隆(Yoshitaka ASAKAWA) &lt;yoshitaka_asakawa@ha.daifuku.co.jp&gt;</t>
  </si>
  <si>
    <t xml:space="preserve"> 木村 光(Akira KIMURA) &lt;akira_kimura@ha.daifuku.co.jp&gt;</t>
  </si>
  <si>
    <t xml:space="preserve"> 井口 亮(Ryo IGUCHI) &lt;ryo_iguchi@ha.daifuku.co.jp&gt;</t>
  </si>
  <si>
    <t xml:space="preserve"> 森武 光平(Kouhei MORITAKE) &lt;kouhei_moritake@ha.daifuku.co.jp&gt;</t>
  </si>
  <si>
    <t xml:space="preserve"> 山田 雅博(Masahiro YAMADA) &lt;masahiro_yamada@ha.daifuku.co.jp&gt;</t>
  </si>
  <si>
    <t xml:space="preserve"> 大川 浄也(Jyouya OKAWA) &lt;jyouya_okawa@ha.daifuku.co.jp&gt;</t>
  </si>
  <si>
    <t xml:space="preserve"> 中野 祐一(Yuichi NAKANO) &lt;yuichi_nakano@ha.daifuku.co.jp&gt;</t>
  </si>
  <si>
    <t xml:space="preserve"> 小林 徹也(Tetsuya KOBAYASI) &lt;tetsuya_kobayasi@ha.daifuku.co.jp&gt;</t>
  </si>
  <si>
    <t xml:space="preserve"> 小川 紘平(Kohei OGAWA) &lt;kohei_ogawa@ha.daifuku.co.jp&gt;</t>
  </si>
  <si>
    <t xml:space="preserve"> 向川 英希(Hideki MUKAIGAWA) &lt;hideki_mukaigawa@ha.daifuku.co.jp&gt;</t>
  </si>
  <si>
    <t xml:space="preserve"> 玉井 正輝(Masaki TAMAI) &lt;masaki_tamai@ha.daifuku.co.jp&gt;</t>
  </si>
  <si>
    <t xml:space="preserve"> 近藤 啓介(Keisuke KONDO) &lt;keisuke_kondo@ha.daifuku.co.jp&gt;</t>
  </si>
  <si>
    <t xml:space="preserve"> 山下 圭祐(Keisuke YAMASHITA) &lt;keisuke_yamashita@ha.daifuku.co.jp&gt;</t>
  </si>
  <si>
    <t xml:space="preserve"> 相宮 健一(Kenichi AIMIYA) &lt;kenichi_aimiya@ha.daifuku.co.jp&gt;</t>
  </si>
  <si>
    <t xml:space="preserve"> 中尾 僚太(Ryouta NAKAO) &lt;ryouta_nakao@ha.daifuku.co.jp&gt;</t>
  </si>
  <si>
    <t xml:space="preserve"> 秋田 峻(Syun AKITA) &lt;syun_akita@ha.daifuku.co.jp&gt;</t>
  </si>
  <si>
    <t xml:space="preserve"> 三崎 敬祐(Keisuke MISAKI) &lt;keisuke_misaki@ha.daifuku.co.jp&gt;</t>
  </si>
  <si>
    <t xml:space="preserve"> 松井 翼(Tsubasa MATSUI) &lt;tsubasa_matsui@ha.daifuku.co.jp&gt;</t>
  </si>
  <si>
    <t xml:space="preserve"> 中平 貴之(Takayuki NAKAHIRA) &lt;takayuki_nakahira@ha.daifuku.co.jp&gt;</t>
  </si>
  <si>
    <t xml:space="preserve"> 横田 拓也(Takuya YOKOTA) &lt;takuya_yokota@ha.daifuku.co.jp&gt;</t>
  </si>
  <si>
    <t xml:space="preserve"> 土岐 典大(Norihiro TOKI) &lt;norihiro_toki@ha.daifuku.co.jp&gt;</t>
  </si>
  <si>
    <t xml:space="preserve"> 石井 博基(Hiroki ISHII) &lt;hiroki_ishii@ha.daifuku.co.jp&gt;</t>
  </si>
  <si>
    <t xml:space="preserve"> 稲山 裕樹(Yuuki INEYAMA) &lt;yuuki_ineyama@ha.daifuku.co.jp&gt;</t>
  </si>
  <si>
    <t xml:space="preserve"> 西富 祐介(Yusuke NISHITOMI) &lt;yusuke_nishitomi@ha.daifuku.co.jp&gt;</t>
  </si>
  <si>
    <t xml:space="preserve"> 岡野 淳(Atsushi OKANO) &lt;atsushi_okano@ha.daifuku.co.jp&gt;</t>
  </si>
  <si>
    <t xml:space="preserve"> 水野 裕喜(Hiroki MIZUNO) &lt;hiroki_mizuno@ha.daifuku.co.jp&gt;</t>
  </si>
  <si>
    <t xml:space="preserve"> 馬場 大輔(Daisuke BABA) &lt;daisuke_baba@ha.daifuku.co.jp&gt;</t>
  </si>
  <si>
    <t xml:space="preserve"> 今吉 貴亮(Takaaki IMAYOSHI) &lt;takaaki_imayoshi@ha.daifuku.co.jp&gt;</t>
  </si>
  <si>
    <t xml:space="preserve"> 大越 卓也(Takuya OGOSHI) &lt;takuya_ogoshi@ha.daifuku.co.jp&gt;</t>
  </si>
  <si>
    <t xml:space="preserve"> 小田 龍也(Tatsuya ODA) &lt;tatsuya_oda@ha.daifuku.co.jp&gt;</t>
  </si>
  <si>
    <t xml:space="preserve"> 山村 将之(Masashi YAMAMURA) &lt;masashi_yamamura@ha.daifuku.co.jp&gt;</t>
  </si>
  <si>
    <t xml:space="preserve"> 木下 勇生(Yuki KINOSHITA) &lt;yuki_kinoshita@ha.daifuku.co.jp&gt;</t>
  </si>
  <si>
    <t xml:space="preserve"> 森本 和希(Kazuki MORIMOTO) &lt;kazuki_morimoto-m1@ha.daifuku.co.jp&gt;</t>
  </si>
  <si>
    <t xml:space="preserve"> 広瀬 敦憲(Atsunori HIROSE) &lt;atsunori_hirose@ha.daifuku.co.jp&gt;</t>
  </si>
  <si>
    <t xml:space="preserve"> 溝畑 宏隆(Hirotaka MIZOBATA) &lt;hirotaka_mizobata@ha.daifuku.co.jp&gt;</t>
  </si>
  <si>
    <t xml:space="preserve"> 藤澤 良則(Yoshinori FUJISAWA) &lt;yoshinori_fujisawa@ha.daifuku.co.jp&gt;</t>
  </si>
  <si>
    <t xml:space="preserve"> 田代 真也(Shinya TASHIRO) &lt;shinya_tashiro@ha.daifuku.co.jp&gt;</t>
  </si>
  <si>
    <t xml:space="preserve"> 新谷 英也(Hideya SHINTANI) &lt;hideya_shintani@ha.daifuku.co.jp&gt;</t>
  </si>
  <si>
    <t xml:space="preserve"> 細田 和裕(Kazuhiro HOSODA) &lt;kazuhiro_hosoda@ha.daifuku.co.jp&gt;</t>
  </si>
  <si>
    <t xml:space="preserve"> 河南 基貴(Motoki KANNAN) &lt;motoki_kannan@ha.daifuku.co.jp&gt;</t>
  </si>
  <si>
    <t xml:space="preserve"> 向畑 拓郎(Takurou MUKAIHATA) &lt;takurou_mukaihata@ha.daifuku.co.jp&gt;</t>
  </si>
  <si>
    <t xml:space="preserve"> 稲葉 隼人(Hayato INABA) &lt;hayato_inaba@ha.daifuku.co.jp&gt;</t>
  </si>
  <si>
    <t xml:space="preserve"> 小屋迫 勝彦(Katsuhiko KOYASAKO) &lt;katsuhiko_koyasako@ha.daifuku.co.jp&gt;</t>
  </si>
  <si>
    <t xml:space="preserve"> 末安 輝士(Teruhito SUEYASU) &lt;teruhito_sueyasu@ha.daifuku.co.jp&gt;</t>
  </si>
  <si>
    <t xml:space="preserve"> 小嶋 翔(Syou KOJIMA) &lt;syou_kojima@ha.daifuku.co.jp&gt;</t>
  </si>
  <si>
    <t xml:space="preserve"> 吉田 憲博(Norihiro YOSHIDA) &lt;norihiro_yoshida@ha.daifuku.co.jp&gt;</t>
  </si>
  <si>
    <t xml:space="preserve"> 谷口 啓介(Keisuke TANIGUCHI) &lt;keisuke_taniguchi@ha.daifuku.co.jp&gt;</t>
  </si>
  <si>
    <t xml:space="preserve"> 縄田 菖樹(Syouki NAWATA) &lt;syouki_nawata@ha.daifuku.co.jp&gt;</t>
  </si>
  <si>
    <t>佐藤 加代(Kayo SATO) &lt;kayo_sato@ha.daifuku.co.jp&gt;</t>
  </si>
  <si>
    <t xml:space="preserve"> 谷地 照子(Teruko YACHI) &lt;teruko_yachi@ha.daifuku.co.jp&gt;</t>
  </si>
  <si>
    <t xml:space="preserve"> 北詰 由紀子(Yukiko KOIKE) &lt;yukiko_koike@ha.daifuku.co.jp&gt;</t>
  </si>
  <si>
    <t xml:space="preserve"> 近藤 美樹子(Mikiko KONDOU) &lt;mikiko_kondou@ha.daifuku.co.jp&gt;</t>
  </si>
  <si>
    <t xml:space="preserve"> 櫻井 歩(Ayumu SAKURAI) &lt;ayumu_sakurai@ha.daifuku.co.jp&gt;</t>
  </si>
  <si>
    <t xml:space="preserve"> 新井 英代(Hideyo ARAI) &lt;hideyo_arai@ha.daifuku.co.jp&gt;</t>
  </si>
  <si>
    <t xml:space="preserve"> 津久井 直樹(Naoki TSUKUI) &lt;naoki_tsukui@ha.daifuku.co.jp&gt;</t>
  </si>
  <si>
    <t xml:space="preserve"> 藤川 真由子(Mayuko FUJIKAWA) &lt;mayuko_fujikawa@ha.daifuku.co.jp&gt;</t>
  </si>
  <si>
    <t xml:space="preserve"> 小原 美希(Miki OBARA) &lt;miki_obara@ha.daifuku.co.jp&gt;</t>
  </si>
  <si>
    <t xml:space="preserve"> 竹内 時央(Tokio TAKEUCHI) &lt;tokio_takeuchi@ha.daifuku.co.jp&gt;</t>
  </si>
  <si>
    <t xml:space="preserve"> 鹿又 綾(Aya KANOMATA) &lt;aya_kanomata@ha.daifuku.co.jp&gt;</t>
  </si>
  <si>
    <t xml:space="preserve"> 豊田 航平(Kohei TOYOTA) &lt;kohei_toyota@ha.daifuku.co.jp&gt;</t>
  </si>
  <si>
    <t xml:space="preserve"> 遠藤 瑠也(Ryuya ENDO) &lt;ryuya_endo@ha.daifuku.co.jp&gt;</t>
  </si>
  <si>
    <t xml:space="preserve"> 河野 純(Jun KONO) &lt;jun_kono@ha.daifuku.co.jp&gt;</t>
  </si>
  <si>
    <t xml:space="preserve"> 須野原 淨恵(Kiyoe SUNOHARA) &lt;kiyoe_sunohara@ha.daifuku.co.jp&gt;</t>
  </si>
  <si>
    <t xml:space="preserve"> 齊藤 千恵(Chie SAITO) &lt;chie_saito@ha.daifuku.co.jp&gt;</t>
  </si>
  <si>
    <t xml:space="preserve"> 新井 智子(Tomoko ARAI) &lt;tomoko_arai@ha.daifuku.co.jp&gt;</t>
  </si>
  <si>
    <t xml:space="preserve"> 中澤 綾香(Ayaka NAKAZAWA) &lt;ayaka_nakazawa-m1@ha.daifuku.co.jp&gt;</t>
  </si>
  <si>
    <t xml:space="preserve"> 阿波 千絵(Chie AWA) &lt;chie_awa@ha.daifuku.co.jp&gt;</t>
  </si>
  <si>
    <t xml:space="preserve"> 高梨 とく江(Tokue TAKANASHI) &lt;tokue_takanashi@ha.daifuku.co.jp&gt;</t>
  </si>
  <si>
    <t xml:space="preserve"> 青柳 梢(Kozue AOYAGI) &lt;kozue_aoyagi.da2@ha.daifuku.co.jp&gt;</t>
  </si>
  <si>
    <t xml:space="preserve"> 浅野 愛美(Manami ASANO) &lt;manami_asano@ha.daifuku.co.jp&gt;</t>
  </si>
  <si>
    <t xml:space="preserve"> 冨永 清美(Kiyomi TOMINAGA) &lt;kiyomi_tominaga@ha.daifuku.co.jp&gt;</t>
  </si>
  <si>
    <t xml:space="preserve"> 前田 朋子(Tomoko MAEDA) &lt;tomoko_maeda@ha.daifuku.co.jp&gt;</t>
  </si>
  <si>
    <t xml:space="preserve"> 伊藤 彩子(Ayako FUKUYAMA) &lt;ayako_fukuyama@ha.daifuku.co.jp&gt;</t>
  </si>
  <si>
    <t xml:space="preserve"> 青沼 麻智子(Machiko AONUMA) &lt;machiko_aonuma@ha.daifuku.co.jp&gt;</t>
  </si>
  <si>
    <t xml:space="preserve"> 田代 圭子(Keiko TASHIRO) &lt;keiko_tashiro@ha.daifuku.co.jp&gt;</t>
  </si>
  <si>
    <t xml:space="preserve"> 高木 佑輔(Yusuke TAKAKI) &lt;yusuke_takaki@ha.daifuku.co.jp&gt;</t>
  </si>
  <si>
    <t xml:space="preserve"> 和泉 真由美(Mayumi IZUMI) &lt;mayumi_izumi@ha.daifuku.co.jp&gt;</t>
  </si>
  <si>
    <t xml:space="preserve"> 小俣 麗(Rei OMATA) &lt;rei_omata.da2@ha.daifuku.co.jp&gt;</t>
  </si>
  <si>
    <t xml:space="preserve"> 佐藤 千恵(Chie SATO) &lt;chie_sato@ha.daifuku.co.jp&gt;</t>
  </si>
  <si>
    <t xml:space="preserve"> 鍵本 和幸(Kazuyuki KAGIMOTO) &lt;kazuyuki_kagimoto@ha.daifuku.co.jp&gt;</t>
  </si>
  <si>
    <t xml:space="preserve"> 黒羽 由美(Yumi KUROHA) &lt;yumi_kuroha@ha.daifuku.co.jp&gt;</t>
  </si>
  <si>
    <t xml:space="preserve"> 菊田 紀子(Noriko KIKUTA) &lt;noriko_kikuta@ha.daifuku.co.jp&gt;</t>
  </si>
  <si>
    <t xml:space="preserve"> 小堀 隆朗(Takaaki KOBORI) &lt;takaaki_kobori@ha.daifuku.co.jp&gt;</t>
  </si>
  <si>
    <t xml:space="preserve"> 鈴木 裕美(Hiromi SUZUKI) &lt;hiromi_suzuki@ha.daifuku.co.jp&gt;</t>
  </si>
  <si>
    <t xml:space="preserve"> 清水 珠美(Tamami SHIMIZU) &lt;tamami_shimizu@ha.daifuku.co.jp&gt;</t>
  </si>
  <si>
    <t xml:space="preserve"> 芳澤 和子(Kazuko YOSHIZAWA) &lt;kazuko_yoshizawa@ha.daifuku.co.jp&gt;</t>
  </si>
  <si>
    <t xml:space="preserve"> 小林 麻由美(Mayumi KOBAYASHI) &lt;mayumi_kobayashi@ha.daifuku.co.jp&gt;</t>
  </si>
  <si>
    <t xml:space="preserve"> 和田 宏子(Hiroko WADA) &lt;hiroko_wada@ha.daifuku.co.jp&gt;</t>
  </si>
  <si>
    <t xml:space="preserve"> 福岡 久美子(Kumiko FUKUOKA) &lt;kumiko_fukuoka-m1@ha.daifuku.co.jp&gt;</t>
  </si>
  <si>
    <t xml:space="preserve"> 太田 麻美(Asami OTA) &lt;asami_ota@ha.daifuku.co.jp&gt;</t>
  </si>
  <si>
    <t xml:space="preserve"> 青木 あや子(Ayako AOKI) &lt;ayako_aoki@ha.daifuku.co.jp&gt;</t>
  </si>
  <si>
    <t xml:space="preserve"> 大竹 友美(Tomomi OTAKE) &lt;tomomi_otake@ha.daifuku.co.jp&gt;</t>
  </si>
  <si>
    <t xml:space="preserve"> 田中 由美(Yumi TANAKA) &lt;yumi_tanaka@ha.daifuku.co.jp&gt;</t>
  </si>
  <si>
    <t xml:space="preserve"> 塚本 里沙(Risa TSUKAMOTO) &lt;risa_tsukamoto@ha.daifuku.co.jp&gt;</t>
  </si>
  <si>
    <t xml:space="preserve"> 原 久美子(Kumiko HARA) &lt;kumiko_hara.da2@ha.daifuku.co.jp&gt;</t>
  </si>
  <si>
    <t xml:space="preserve"> 村田 美紀(Miki OHTA) &lt;miki_ohta@ha.daifuku.co.jp&gt;</t>
  </si>
  <si>
    <t xml:space="preserve"> 久保田 友美(Tomomi KUBOTA) &lt;tomomi_kubota@ha.daifuku.co.jp&gt;</t>
  </si>
  <si>
    <t xml:space="preserve"> 高瀬 弓利子(Yuriko TAKASE) &lt;yuriko_takase@ha.daifuku.co.jp&gt;</t>
  </si>
  <si>
    <t xml:space="preserve"> 石崎 竜次(Ryuuji ISHIZAKI) &lt;ryuuji_ishizaki@ha.daifuku.co.jp&gt;</t>
  </si>
  <si>
    <t xml:space="preserve"> 中川 美佐子(Misako NAKAGAWA) &lt;misako_nakagawa@ha.daifuku.co.jp&gt;</t>
  </si>
  <si>
    <t xml:space="preserve"> 橋本 康平(Kouhei HASHIMOTO) &lt;kouhei_hashimoto@ha.daifuku.co.jp&gt;</t>
  </si>
  <si>
    <t xml:space="preserve"> 重野 紀子(Noriko SHIGENO) &lt;noriko_shigeno.da2@ha.daifuku.co.jp&gt;</t>
  </si>
  <si>
    <t xml:space="preserve"> 福井 美帆(Miho FUKUI) &lt;miho_fukui@ha.daifuku.co.jp&gt;</t>
  </si>
  <si>
    <t xml:space="preserve"> 橋本 こずえ(Kozue HASHIMOTO) &lt;kozue_hashimoto@ha.daifuku.co.jp&gt;</t>
  </si>
  <si>
    <t xml:space="preserve"> 中野 千恵美(Chiemi NAKANO) &lt;chiemi_nakano@ha.daifuku.co.jp&gt;</t>
  </si>
  <si>
    <t xml:space="preserve"> 島川 直人(Naoto SHIMAKAWA) &lt;naoto_shimakawa@ha.daifuku.co.jp&gt;</t>
  </si>
  <si>
    <t xml:space="preserve"> 藤吉 麻衣(Mai FUJIYOSHI) &lt;mai_fujiyoshi@ha.daifuku.co.jp&gt;</t>
  </si>
  <si>
    <t xml:space="preserve"> 春岡 風太(Futa HARUOKA) &lt;futa_haruoka@ha.daifuku.co.jp&gt;</t>
  </si>
  <si>
    <t xml:space="preserve"> 中下 将希(Masaki NAKASHITA) &lt;masaki_nakashita@ha.daifuku.co.jp&gt;</t>
  </si>
  <si>
    <t xml:space="preserve"> 清水 寛子(Hiroko SHIMIZU) &lt;hiroko_shimizu@ha.daifuku.co.jp&gt;</t>
  </si>
  <si>
    <t xml:space="preserve"> 大廣 直子(Naoko OHIRO) &lt;naoko_ohiro@ha.daifuku.co.jp&gt;</t>
  </si>
  <si>
    <t xml:space="preserve"> 今井 与志子(Yoshiko IMAI) &lt;yoshiko_imai@ha.daifuku.co.jp&gt;</t>
  </si>
  <si>
    <t xml:space="preserve"> 古澤 弥生(Yayoi FURUSAWA) &lt;yayoi_furusawa-m1@ha.daifuku.co.jp&gt;</t>
  </si>
  <si>
    <t xml:space="preserve"> 増田 友也(Yuuya MASUDA) &lt;yuuya_masuda@ha.daifuku.co.jp&gt;</t>
  </si>
  <si>
    <t xml:space="preserve"> 西村 智恵子(Chieko NISHIMURA) &lt;chieko_nishimura@ha.daifuku.co.jp&gt;</t>
  </si>
  <si>
    <t xml:space="preserve"> 吉川 侑吾(Yugo YOSHIKAWA) &lt;yugo_yoshikawa@ha.daifuku.co.jp&gt;</t>
  </si>
  <si>
    <t xml:space="preserve"> 足立 優子(Yuko ADACHI) &lt;yuko_adachi@ha.daifuku.co.jp&gt;</t>
  </si>
  <si>
    <t xml:space="preserve"> 山﨑 朋子(Tomoko YAMASAKI) &lt;tomoko_yamasaki@ha.daifuku.co.jp&gt;</t>
  </si>
  <si>
    <t xml:space="preserve"> 三宅 麻以(Mai MIYAKE) &lt;mai_miyake@ha.daifuku.co.jp&gt;</t>
  </si>
  <si>
    <t xml:space="preserve"> 金海 澪(Rei KANEUMI) &lt;rei_kaneumi@ha.daifuku.co.jp&gt;</t>
  </si>
  <si>
    <t xml:space="preserve"> 石原 玲子(Reiko ISHIHARA) &lt;reiko_ishihara-m1@ha.daifuku.co.jp&gt;</t>
  </si>
  <si>
    <t xml:space="preserve"> 松井 やよい(Yayoi MATSUI) &lt;yayoi_matsui@ha.daifuku.co.jp&gt;</t>
  </si>
  <si>
    <t xml:space="preserve"> 頼実 梨奈(Rina YORIZANE) &lt;rina_yorizane@ha.daifuku.co.jp&gt;</t>
  </si>
  <si>
    <t xml:space="preserve"> 三谷 和彦(Kazuhiko MITANI) &lt;kazuhiko_mitani@ha.daifuku.co.jp&gt;</t>
  </si>
  <si>
    <t xml:space="preserve"> 河邉 さおり(Saori KAWANABE) &lt;saori_kawanabe@ha.daifuku.co.jp&gt;</t>
  </si>
  <si>
    <t xml:space="preserve"> 鶴身 征也(Seiya TSURUMI) &lt;seiya_tsurumi@ha.daifuku.co.jp&gt;</t>
  </si>
  <si>
    <t xml:space="preserve"> 平岡 美仁子(Miniko HIRAOKA) &lt;miniko_hiraoka@ha.daifuku.co.jp&gt;</t>
  </si>
  <si>
    <t xml:space="preserve"> 藤井 好美(Yoshimi FUJII) &lt;yoshimi_fujii@ha.daifuku.co.jp&gt;</t>
  </si>
  <si>
    <t xml:space="preserve"> 守屋 千恵(Chie MORIYA) &lt;chie_moriya@ha.daifuku.co.jp&gt;</t>
  </si>
  <si>
    <t xml:space="preserve"> 菅野 紋子(Ayako KANNO) &lt;ayako_kanno@ha.daifuku.co.jp&gt;</t>
  </si>
  <si>
    <t xml:space="preserve"> 羽渕 和志(Kazusi HABUTI) &lt;kazusi_habuti@ha.daifuku.co.jp&gt;</t>
  </si>
  <si>
    <t xml:space="preserve"> 田中 法恵(Norie TANAKA) &lt;norie_tanaka@ha.daifuku.co.jp&gt;</t>
  </si>
  <si>
    <t xml:space="preserve"> 高原 千恵(Chie TAKAGAKI) &lt;chie_takagaki@ha.daifuku.co.jp&gt;</t>
  </si>
  <si>
    <t xml:space="preserve"> 新宮 ひとみ(Hitomi SHINGUU) &lt;hitomi_shinguu@ha.daifuku.co.jp&gt;</t>
  </si>
  <si>
    <t xml:space="preserve"> 田中 由香里(Yukari TANAKA) &lt;yukari_tanaka@ha.daifuku.co.jp&gt;</t>
  </si>
  <si>
    <t xml:space="preserve"> 清水 富美子(Tomiko SIMIZU) &lt;tomiko_simizu@ha.daifuku.co.jp&gt;</t>
  </si>
  <si>
    <t xml:space="preserve"> 住山 岳彬(Takeaki SUMIYAMA) &lt;takeaki_sumiyama@ha.daifuku.co.jp&gt;</t>
  </si>
  <si>
    <t xml:space="preserve"> 福原 優子(Yuko FUKUHARA) &lt;yuko_fukuhara@ha.daifuku.co.jp&gt;</t>
  </si>
  <si>
    <t xml:space="preserve"> 青木 奈津子(Natsuko AOKI) &lt;natsuko_aoki@ha.daifuku.co.jp&gt;</t>
  </si>
  <si>
    <t xml:space="preserve"> 小野 幸子(Sachiko ONO) &lt;sachiko_ono@ha.daifuku.co.jp&gt;</t>
  </si>
  <si>
    <t xml:space="preserve"> 種田 杏子(Kyoko TANEDA) &lt;kyoko_taneda@ha.daifuku.co.jp&gt;</t>
  </si>
  <si>
    <t>110期</t>
    <rPh sb="3" eb="4">
      <t>キ</t>
    </rPh>
    <phoneticPr fontId="4"/>
  </si>
  <si>
    <t>巣鴨第2</t>
    <rPh sb="0" eb="2">
      <t>スガモ</t>
    </rPh>
    <rPh sb="2" eb="3">
      <t>ダイ</t>
    </rPh>
    <phoneticPr fontId="4"/>
  </si>
  <si>
    <t>熊谷</t>
    <rPh sb="0" eb="2">
      <t>クマガヤ</t>
    </rPh>
    <phoneticPr fontId="4"/>
  </si>
  <si>
    <t>巣鴨第1</t>
    <rPh sb="0" eb="2">
      <t>スガモ</t>
    </rPh>
    <rPh sb="2" eb="3">
      <t>ダイ</t>
    </rPh>
    <phoneticPr fontId="4"/>
  </si>
  <si>
    <t>成田第1</t>
    <rPh sb="0" eb="2">
      <t>ナリタ</t>
    </rPh>
    <rPh sb="2" eb="3">
      <t>ダイ</t>
    </rPh>
    <phoneticPr fontId="4"/>
  </si>
  <si>
    <t>成田ＣＳ</t>
    <phoneticPr fontId="4"/>
  </si>
  <si>
    <t>成田第2</t>
    <rPh sb="0" eb="2">
      <t>ナリタ</t>
    </rPh>
    <rPh sb="2" eb="3">
      <t>ダイ</t>
    </rPh>
    <phoneticPr fontId="4"/>
  </si>
  <si>
    <t>新規</t>
    <rPh sb="0" eb="2">
      <t>シンキ</t>
    </rPh>
    <phoneticPr fontId="4"/>
  </si>
  <si>
    <t>野田</t>
    <rPh sb="0" eb="2">
      <t>ノダ</t>
    </rPh>
    <phoneticPr fontId="4"/>
  </si>
  <si>
    <t>厚木第1</t>
    <rPh sb="0" eb="2">
      <t>アツギ</t>
    </rPh>
    <rPh sb="2" eb="3">
      <t>ダイ</t>
    </rPh>
    <phoneticPr fontId="4"/>
  </si>
  <si>
    <t>厚木第2</t>
    <rPh sb="0" eb="2">
      <t>アツギ</t>
    </rPh>
    <rPh sb="2" eb="3">
      <t>ダイ</t>
    </rPh>
    <phoneticPr fontId="4"/>
  </si>
  <si>
    <t>分割</t>
    <rPh sb="0" eb="2">
      <t>ブンカツ</t>
    </rPh>
    <phoneticPr fontId="4"/>
  </si>
  <si>
    <t>水島第1</t>
    <rPh sb="0" eb="2">
      <t>ミズシマ</t>
    </rPh>
    <rPh sb="2" eb="3">
      <t>ダイ</t>
    </rPh>
    <phoneticPr fontId="4"/>
  </si>
  <si>
    <t>水島第2</t>
    <rPh sb="0" eb="2">
      <t>ミズシマ</t>
    </rPh>
    <rPh sb="2" eb="3">
      <t>ダイ</t>
    </rPh>
    <phoneticPr fontId="4"/>
  </si>
  <si>
    <t>鳥栖第1</t>
    <rPh sb="0" eb="2">
      <t>トス</t>
    </rPh>
    <rPh sb="2" eb="3">
      <t>ダイ</t>
    </rPh>
    <phoneticPr fontId="4"/>
  </si>
  <si>
    <t>鳥栖第2</t>
    <rPh sb="0" eb="2">
      <t>トス</t>
    </rPh>
    <rPh sb="2" eb="3">
      <t>ダイ</t>
    </rPh>
    <phoneticPr fontId="4"/>
  </si>
  <si>
    <t>帯広</t>
    <rPh sb="0" eb="2">
      <t>オビヒロ</t>
    </rPh>
    <phoneticPr fontId="4"/>
  </si>
  <si>
    <t>-</t>
    <phoneticPr fontId="4"/>
  </si>
  <si>
    <t>横浜第3</t>
    <phoneticPr fontId="4"/>
  </si>
  <si>
    <t>北関東</t>
    <rPh sb="0" eb="3">
      <t>キタカントウ</t>
    </rPh>
    <phoneticPr fontId="4"/>
  </si>
  <si>
    <t>autoenhanceon</t>
    <phoneticPr fontId="4"/>
  </si>
  <si>
    <t>高田 優子</t>
  </si>
  <si>
    <t>高田 優子</t>
    <phoneticPr fontId="4"/>
  </si>
  <si>
    <t>保守Ｇの山本です。</t>
    <rPh sb="0" eb="2">
      <t>ホシュ</t>
    </rPh>
    <rPh sb="4" eb="6">
      <t>ヤマモト</t>
    </rPh>
    <phoneticPr fontId="4"/>
  </si>
  <si>
    <t>　 　　IL　フィールドサポート室　保守Ｇ(滋賀)</t>
    <rPh sb="18" eb="20">
      <t>ホシュ</t>
    </rPh>
    <rPh sb="22" eb="24">
      <t>シガ</t>
    </rPh>
    <phoneticPr fontId="4"/>
  </si>
  <si>
    <t>部署内cc</t>
    <rPh sb="0" eb="2">
      <t>ブショ</t>
    </rPh>
    <rPh sb="2" eb="3">
      <t>ナイ</t>
    </rPh>
    <phoneticPr fontId="4"/>
  </si>
  <si>
    <t>yoshirou_abe@ha.daifuku.co.jp</t>
    <phoneticPr fontId="4"/>
  </si>
  <si>
    <t>不要</t>
    <rPh sb="0" eb="2">
      <t>フヨウ</t>
    </rPh>
    <phoneticPr fontId="4"/>
  </si>
  <si>
    <t xml:space="preserve"> 佐藤 康平(Kouhei SATO) &lt;kouhei_sato@ha.daifuku.co.jp&gt;</t>
  </si>
  <si>
    <t xml:space="preserve"> 秋山 卓哉(Takuya AKIYAMA) &lt;takuya_akiyama@ha.daifuku.co.jp&gt;</t>
  </si>
  <si>
    <t xml:space="preserve"> 角野 洋介(Yousuke KADONO) &lt;yousuke_kadono@ha.daifuku.co.jp&gt;</t>
  </si>
  <si>
    <t xml:space="preserve"> 佐藤 息吹(Ibuki SATO) &lt;ibuki_sato@ha.daifuku.co.jp&gt;</t>
  </si>
  <si>
    <t xml:space="preserve"> 細川 大稀(Taiki HOSOKAWA) &lt;taiki_hosokawa@ha.daifuku.co.jp&gt;</t>
  </si>
  <si>
    <t xml:space="preserve"> 村中 優介(Yusuke MURANAKA) &lt;yusuke_muranaka@ha.daifuku.co.jp&gt;</t>
  </si>
  <si>
    <t xml:space="preserve"> 佐藤 加代(Kayo SATO) &lt;kayo_sato@ha.daifuku.co.jp&gt;</t>
  </si>
  <si>
    <t xml:space="preserve"> 山田 篤(Atsushi YAMADA) &lt;atsushi_yamada-m2@ha.daifuku.co.jp&gt;</t>
  </si>
  <si>
    <t xml:space="preserve"> 柵山 貴紀(Takanori SAKUYAMA) &lt;takanori_sakuyama@ha.daifuku.co.jp&gt;</t>
  </si>
  <si>
    <t xml:space="preserve"> 田中 友浩(Tomohiro TANAKA) &lt;tomohiro_tanaka-m1@ha.daifuku.co.jp&gt;</t>
  </si>
  <si>
    <t xml:space="preserve"> 佐藤 達弥(Tatsuya SATO) &lt;tatsuya_sato@ha.daifuku.co.jp&gt;</t>
  </si>
  <si>
    <t xml:space="preserve"> 藤田 空(Sora FUJITA) &lt;sora_fujita@ha.daifuku.co.jp&gt;</t>
  </si>
  <si>
    <t xml:space="preserve"> 大羽澤 開(Haruki OOBASAWA) &lt;haruki_sasaki@ha.daifuku.co.jp&gt;</t>
  </si>
  <si>
    <t xml:space="preserve"> 野口 賢(Masaru NOGUCHI) &lt;masaru_noguchi@ha.daifuku.co.jp&gt;</t>
  </si>
  <si>
    <t xml:space="preserve"> 小酒 光亮(Kosuke KOSAKE) &lt;kosuke_kosake@ha.daifuku.co.jp&gt;</t>
  </si>
  <si>
    <t xml:space="preserve"> 伝法谷 洸稀(Koki DEMPOYA) &lt;koki_dempoya@ha.daifuku.co.jp&gt;</t>
  </si>
  <si>
    <t xml:space="preserve"> 柳生 康一郎(Koichiro YAGYU) &lt;koichiro_yagyu@ha.daifuku.co.jp&gt;</t>
  </si>
  <si>
    <t xml:space="preserve"> 渡辺 翔(Kakeru WATANABE) &lt;kakeru_watanabe@ha.daifuku.co.jp&gt;</t>
  </si>
  <si>
    <t xml:space="preserve"> 上門 義明(Yoshiaki UEKADO) &lt;yoshiaki_uekado@ha.daifuku.co.jp&gt;</t>
  </si>
  <si>
    <t xml:space="preserve"> 鷹島 雄馬(Yuma TAKASHIMA) &lt;yuma_takashima@ha.daifuku.co.jp&gt;</t>
  </si>
  <si>
    <t xml:space="preserve"> 小川 凜人(Rinto OGAWA) &lt;rinto_ogawa@ha.daifuku.co.jp&gt;</t>
  </si>
  <si>
    <t xml:space="preserve"> 小野寺 翔太(Shota ONODERA) &lt;shota_onodera@ha.daifuku.co.jp&gt;</t>
  </si>
  <si>
    <t xml:space="preserve"> 渡邊 浩哉(Kohya WATANABE) &lt;kohya_watanabe@ha.daifuku.co.jp&gt;</t>
  </si>
  <si>
    <t xml:space="preserve"> 星 悠太(Yuta HOSHI) &lt;yuta_hoshi@ha.daifuku.co.jp&gt;</t>
  </si>
  <si>
    <t>太田 雅博(Masahiro OOTA) &lt;masahiro_oota@ha.daifuku.co.jp&gt;</t>
  </si>
  <si>
    <t xml:space="preserve"> 谷本 竜馬(Ryoma TANIMOTO) &lt;ryoma_tanimoto@ha.daifuku.co.jp&gt;</t>
  </si>
  <si>
    <t xml:space="preserve"> 長沼 大地(Daichi NAGANUMA) &lt;daichi_naganuma@ha.daifuku.co.jp&gt;</t>
  </si>
  <si>
    <t xml:space="preserve"> 福島 彰純(Akisumi FUKUSHIMA) &lt;akisumi_fukushima@ha.daifuku.co.jp&gt;</t>
  </si>
  <si>
    <t xml:space="preserve"> 橘 大雅(Taiga TACHIBANA) &lt;taiga_tachibana@ha.daifuku.co.jp&gt;</t>
  </si>
  <si>
    <t xml:space="preserve"> 渡邉 拓眞(Takuma WATANABE) &lt;takuma_watanabe-m1@ha.daifuku.co.jp&gt;</t>
  </si>
  <si>
    <t xml:space="preserve"> 鈴木 絃太(Genta SUZUKI) &lt;genta_suzuki@ha.daifuku.co.jp&gt;</t>
  </si>
  <si>
    <t xml:space="preserve"> 髙橋 恒輝(Koki TAKAHASHI) &lt;koki_takahashi@ha.daifuku.co.jp&gt;</t>
  </si>
  <si>
    <t xml:space="preserve"> 福田 峻也(Shunya FUKUDA) &lt;shunya_fukuda@ha.daifuku.co.jp&gt;</t>
  </si>
  <si>
    <t xml:space="preserve"> 嘉鳥 敬仁(Takahito KATORI) &lt;takahito_katori@ha.daifuku.co.jp&gt;</t>
  </si>
  <si>
    <t xml:space="preserve"> 爲貝 文弥(Fumiya TAMEGAI) &lt;fumiya_tamegai@ha.daifuku.co.jp&gt;</t>
  </si>
  <si>
    <t xml:space="preserve"> 西川 直輝(Naoki NISHIKAWA) &lt;naoki_nishikawa@ha.daifuku.co.jp&gt;</t>
  </si>
  <si>
    <t xml:space="preserve"> 角田 晴紀(Haruki TSUNODA) &lt;haruki_tsunoda@ha.daifuku.co.jp&gt;</t>
  </si>
  <si>
    <t xml:space="preserve"> 大浦 奈緒(Nao OURA) &lt;nao_oura@ha.daifuku.co.jp&gt;</t>
  </si>
  <si>
    <t xml:space="preserve"> 髙村 知季(Tomoki TAKAMURA) &lt;tomoki_takamura@ha.daifuku.co.jp&gt;</t>
  </si>
  <si>
    <t xml:space="preserve"> 横田 将大(Masahiro YOKOTA) &lt;masahiro_yokota@ha.daifuku.co.jp&gt;</t>
  </si>
  <si>
    <t xml:space="preserve"> 森 裕紀(Hiroki MORI) &lt;hiroki_mori-m1@ha.daifuku.co.jp&gt;</t>
  </si>
  <si>
    <t xml:space="preserve"> 金子 知樹(Tomoki KANEKO) &lt;tomoki_kaneko@ha.daifuku.co.jp&gt;</t>
  </si>
  <si>
    <t xml:space="preserve"> 坂井 翔太郎(Shotaro SAKAI) &lt;shotaro_sakai@ha.daifuku.co.jp&gt;</t>
  </si>
  <si>
    <t xml:space="preserve"> 青木 雅巳(Masami AOKI) &lt;masami_aoki-m1@ha.daifuku.co.jp&gt;</t>
  </si>
  <si>
    <t xml:space="preserve"> 阿久津 佑太(Yuta AKUTSU) &lt;yuta_akutsu@ha.daifuku.co.jp&gt;</t>
  </si>
  <si>
    <t xml:space="preserve"> 梅本 虎矢(Takeya UMEMOTO) &lt;takeya_umemoto@ha.daifuku.co.jp&gt;</t>
  </si>
  <si>
    <t>増田 侑規(Yuki MASUDA) &lt;yuki_masuda@ha.daifuku.co.jp&gt;</t>
  </si>
  <si>
    <t xml:space="preserve"> 三友 喬志(Tadashi MITOMO) &lt;tadashi_mitomo@ha.daifuku.co.jp&gt;</t>
  </si>
  <si>
    <t xml:space="preserve"> 杉山 塁(Rui SUGIYAMA) &lt;rui_sugiyama@ha.daifuku.co.jp&gt;</t>
  </si>
  <si>
    <t xml:space="preserve"> 和田 拓望(Takumi WADA) &lt;takumi_wada@ha.daifuku.co.jp&gt;</t>
  </si>
  <si>
    <t xml:space="preserve"> 荒原 祐貴(Hiroki ARAHARA) &lt;hiroki_arahara@ha.daifuku.co.jp&gt;</t>
  </si>
  <si>
    <t xml:space="preserve"> 多久和 周平(Syuhei TAKUWA) &lt;syuhei_takuwa@ha.daifuku.co.jp&gt;</t>
  </si>
  <si>
    <t xml:space="preserve"> 鷲尾 嘉一(Kaichi WASHIO) &lt;kaichi_washio@ha.daifuku.co.jp&gt;</t>
  </si>
  <si>
    <t xml:space="preserve"> 浦和 拓(Taku URAWA) &lt;taku_urawa@ha.daifuku.co.jp&gt;</t>
  </si>
  <si>
    <t xml:space="preserve"> 梶野 峻平(Shumpei KAJINO) &lt;shumpei_kajino@ha.daifuku.co.jp&gt;</t>
  </si>
  <si>
    <t xml:space="preserve"> 福田 滉吉(Koukichi FUKUDA) &lt;koukichi_fukuda@ha.daifuku.co.jp&gt;</t>
  </si>
  <si>
    <t xml:space="preserve"> 渡部 海大(Kaito WATABE) &lt;kaito_watabe@ha.daifuku.co.jp&gt;</t>
  </si>
  <si>
    <t xml:space="preserve"> 徳久 奨(Sho TOKUHISA) &lt;sho_tokuhisa@ha.daifuku.co.jp&gt;</t>
  </si>
  <si>
    <t xml:space="preserve"> 大原 涼太(Ryota OHARA) &lt;ryota_ohara@ha.daifuku.co.jp&gt;</t>
  </si>
  <si>
    <t xml:space="preserve"> 相本 尚昭(Naoaki AIMOTO) &lt;naoaki_aimoto@ha.daifuku.co.jp&gt;</t>
  </si>
  <si>
    <t xml:space="preserve"> 高良 美彦(Yoshihiko KOURA) &lt;yoshihiko_koura@ha.daifuku.co.jp&gt;</t>
  </si>
  <si>
    <t xml:space="preserve"> 佐川 一秀(Kazuhide SAGAWA) &lt;kazuhide_sagawa@ha.daifuku.co.jp&gt;</t>
  </si>
  <si>
    <t xml:space="preserve"> 小圷 恵也(Keiya KOAKUTSU) &lt;keiya_koakutsu@ha.daifuku.co.jp&gt;</t>
  </si>
  <si>
    <t xml:space="preserve"> 田中 洋(Hiroshi TANAKA) &lt;hiroshi_tanaka@ha.daifuku.co.jp&gt;</t>
  </si>
  <si>
    <t xml:space="preserve"> 寳示戸 颯馬(Soma HOJITO) &lt;soma_hojito@ha.daifuku.co.jp&gt;</t>
  </si>
  <si>
    <t xml:space="preserve"> 辻本 渉太(Syouta TSUJIMOTO) &lt;syouta_tsujimoto@ha.daifuku.co.jp&gt;</t>
  </si>
  <si>
    <t xml:space="preserve"> 浅井 拓也(Takuya ASAI) &lt;takuya_asai@ha.daifuku.co.jp&gt;</t>
  </si>
  <si>
    <t xml:space="preserve"> 千浦 優太(Yuta CHIURA) &lt;yuta_chiura@ha.daifuku.co.jp&gt;</t>
  </si>
  <si>
    <t xml:space="preserve"> 内野 翔太(Shota UCHINO) &lt;shota_uchino@ha.daifuku.co.jp&gt;</t>
  </si>
  <si>
    <t xml:space="preserve"> 三村 航大(Kodai MIMURA) &lt;kodai_mimura@ha.daifuku.co.jp&gt;</t>
  </si>
  <si>
    <t xml:space="preserve"> 濱口 優太(Yuta HAMAGUTI) &lt;yuta_hamaguti@ha.daifuku.co.jp&gt;</t>
  </si>
  <si>
    <t xml:space="preserve"> 清水 俊希(Toshiki SHIMIZU) &lt;toshiki_shimizu@ha.daifuku.co.jp&gt;</t>
  </si>
  <si>
    <t xml:space="preserve"> 吉澤 立空(Riku YOSHIZAWA) &lt;riku_yoshizawa@ha.daifuku.co.jp&gt;</t>
  </si>
  <si>
    <t xml:space="preserve"> 渋谷 勇樹(Yuuki SHIBUYA) &lt;yuuki_shibuya@ha.daifuku.co.jp&gt;</t>
  </si>
  <si>
    <t xml:space="preserve"> 山本 暁丈(Akihiro YAMAMOTO) &lt;akihiro_yamamoto@ha.daifuku.co.jp&gt;</t>
  </si>
  <si>
    <t xml:space="preserve"> 山口 円理(Enri YAMAGUCHI) &lt;enri_yamaguchi@ha.daifuku.co.jp&gt;</t>
  </si>
  <si>
    <t xml:space="preserve"> 荒井 紗都(Sato ARAI) &lt;sato_arai@ha.daifuku.co.jp&gt;</t>
  </si>
  <si>
    <t xml:space="preserve"> 石本 正二(Seiji ISHIMOTO) &lt;seiji_ishimoto@ha.daifuku.co.jp&gt;</t>
  </si>
  <si>
    <t xml:space="preserve"> 瀬沼 亮太(Ryota SENUMA) &lt;ryota_senuma@ha.daifuku.co.jp&gt;</t>
  </si>
  <si>
    <t xml:space="preserve"> 本荘 雅人(Masato HONJO) &lt;masato_honjo@ha.daifuku.co.jp&gt;</t>
  </si>
  <si>
    <t xml:space="preserve"> 津留 竜也(Tatsuya TSUDOME) &lt;tatsuya_tsudome@ha.daifuku.co.jp&gt;</t>
  </si>
  <si>
    <t xml:space="preserve"> 立花 青(Sho TACHIBANA) &lt;sho_tachibana@ha.daifuku.co.jp&gt;</t>
  </si>
  <si>
    <t xml:space="preserve"> 上田 大輝(Daiki UEDA) &lt;daiki_ueda@ha.daifuku.co.jp&gt;</t>
  </si>
  <si>
    <t xml:space="preserve"> 斉藤 敦紀(Atsuki SAITO) &lt;atsuki_saito@ha.daifuku.co.jp&gt;</t>
  </si>
  <si>
    <t xml:space="preserve"> 笠原 夢人(Yumeto KASAHARA) &lt;yumeto_kasahara@ha.daifuku.co.jp&gt;</t>
  </si>
  <si>
    <t xml:space="preserve"> 小島 健人(Kento KOJIMA) &lt;kento_kojima@ha.daifuku.co.jp&gt;</t>
  </si>
  <si>
    <t xml:space="preserve"> 熊谷 俊祐(Shunsuke KUMAGAI) &lt;shunsuke_kumagai@ha.daifuku.co.jp&gt;</t>
  </si>
  <si>
    <t xml:space="preserve"> 萩原 幹(Motoki HAGIWARA) &lt;motoki_hagiwara@ha.daifuku.co.jp&gt;</t>
  </si>
  <si>
    <t xml:space="preserve"> 中島 徹也(Tetsuya NAKAJIMA) &lt;tetsuya_nakajima@ha.daifuku.co.jp&gt;</t>
  </si>
  <si>
    <t xml:space="preserve"> 楊 欽元(Qinyuan YANG) &lt;qinyuan_yang@ha.daifuku.co.jp&gt;</t>
  </si>
  <si>
    <t xml:space="preserve"> 宮本 和馬(Kazuma MIYAMOTO) &lt;kazuma_miyamoto@ha.daifuku.co.jp&gt;</t>
  </si>
  <si>
    <t xml:space="preserve"> 渡辺 友浩(Tomohiro WATANABE) &lt;tomohiro_watanabe@ha.daifuku.co.jp&gt;</t>
  </si>
  <si>
    <t xml:space="preserve"> 藤﨑 正樹(Masaki FUJISAKI) &lt;masaki_fujisaki@ha.daifuku.co.jp&gt;</t>
  </si>
  <si>
    <t xml:space="preserve"> 古田 翔平(Shohei FURUTA) &lt;shohei_furuta@ha.daifuku.co.jp&gt;</t>
  </si>
  <si>
    <t xml:space="preserve"> 田中 雅人(Masato TANAKA) &lt;masato_tanaka-m1@ha.daifuku.co.jp&gt;</t>
  </si>
  <si>
    <t xml:space="preserve"> 永野 貴基(Takaki NAGANO) &lt;takaki_nagano@ha.daifuku.co.jp&gt;</t>
  </si>
  <si>
    <t xml:space="preserve"> 日浅 英明(Hideaki HIASA) &lt;Hideaki_Hiasa@ha.daifuku.co.jp&gt;</t>
  </si>
  <si>
    <t xml:space="preserve"> 青木 謙真(Kenshin AOKI) &lt;kenshin_aoki@ha.daifuku.co.jp&gt;</t>
  </si>
  <si>
    <t xml:space="preserve"> 若林 達也(Tatsuya WAKABAYASHI) &lt;tatsuya_wakabayashi@ha.daifuku.co.jp&gt;</t>
  </si>
  <si>
    <t xml:space="preserve"> 浅川 寛人(Hiroto ASAKAWA) &lt;hiroto_asakawa@ha.daifuku.co.jp&gt;</t>
  </si>
  <si>
    <t xml:space="preserve"> 赤崎 泰優(Hiromasa AKASAKI) &lt;hiromasa_akasaki@ha.daifuku.co.jp&gt;</t>
  </si>
  <si>
    <t xml:space="preserve"> 清水 政宏(Masahiro SHIMIZU) &lt;masahiro_shimizu@ha.daifuku.co.jp&gt;</t>
  </si>
  <si>
    <t xml:space="preserve"> 関根 愛也(Yoshiya SEKINE) &lt;yoshiya_sekine@ha.daifuku.co.jp&gt;</t>
  </si>
  <si>
    <t xml:space="preserve"> 神村 俊男(Toshio KAMIMURA) &lt;toshio_kamimura@ha.daifuku.co.jp&gt;</t>
  </si>
  <si>
    <t xml:space="preserve"> 吉田 諒平(Ryohei YOSHIDA) &lt;ryohei_yoshida-m1@ha.daifuku.co.jp&gt;</t>
  </si>
  <si>
    <t xml:space="preserve"> 中島 丈喜(Takeki NAKASHIMA) &lt;takeki_nakashima@ha.daifuku.co.jp&gt;</t>
  </si>
  <si>
    <t xml:space="preserve"> 桒原 仁(Jin KUWABARA) &lt;jin_kuwabara@ha.daifuku.co.jp&gt;</t>
  </si>
  <si>
    <t xml:space="preserve"> 横山 航(Wataru YOKOYAMA) &lt;wataru_yokoyama@ha.daifuku.co.jp&gt;</t>
  </si>
  <si>
    <t xml:space="preserve"> 小山 哲矢(Tetsuya KOYAMA) &lt;tetsuya_koyama@ha.daifuku.co.jp&gt;</t>
  </si>
  <si>
    <t xml:space="preserve"> 平野 圭祐(Keisuke HIRANO) &lt;keisuke_hirano@ha.daifuku.co.jp&gt;</t>
  </si>
  <si>
    <t xml:space="preserve"> 銭谷 陽太(Yota ZENITANI) &lt;yota_zenitani@ha.daifuku.co.jp&gt;</t>
  </si>
  <si>
    <t xml:space="preserve"> 藤井 亮介(Ryosuke FUJII) &lt;ryosuke_fujii-m1@ha.daifuku.co.jp&gt;</t>
  </si>
  <si>
    <t xml:space="preserve"> 中村 知也(Tomoya NAKAMURA) &lt;tomoya_nakamura@ha.daifuku.co.jp&gt;</t>
  </si>
  <si>
    <t xml:space="preserve"> 沼上 純(Jyun NUMAGAMI) &lt;jyun_numagami@ha.daifuku.co.jp&gt;</t>
  </si>
  <si>
    <t xml:space="preserve"> 豊澤 侑介(Yusuke TOYOSAWA) &lt;yusuke_toyosawa@ha.daifuku.co.jp&gt;</t>
  </si>
  <si>
    <t xml:space="preserve"> 田島 柊平(Shuhei TAJIMA) &lt;shuhei_tajima@ha.daifuku.co.jp&gt;</t>
  </si>
  <si>
    <t xml:space="preserve"> 小牧 隆成(Ryusei KOMAKI) &lt;ryusei_komaki@ha.daifuku.co.jp&gt;</t>
  </si>
  <si>
    <t xml:space="preserve"> 上田 純平(Jumpei UEDA) &lt;jumpei_ueda@ha.daifuku.co.jp&gt;</t>
  </si>
  <si>
    <t xml:space="preserve"> 山口 雷太(Raita YAMAGUCHI) &lt;raita_yamaguchi@ha.daifuku.co.jp&gt;</t>
  </si>
  <si>
    <t xml:space="preserve"> 津留 将也(Masaya TSUDOME) &lt;masaya_tsudome@ha.daifuku.co.jp&gt;</t>
  </si>
  <si>
    <t xml:space="preserve"> 菊地 陽介(Yosuke KIKUCHI) &lt;yosuke_kikuchi@ha.daifuku.co.jp&gt;</t>
  </si>
  <si>
    <t xml:space="preserve"> 樋山 博一(Hirokazu HIYAMA) &lt;hirokazu_hiyama@ha.daifuku.co.jp&gt;</t>
  </si>
  <si>
    <t xml:space="preserve"> 森 亮也(Ryoya MORI) &lt;ryoya_mori@ha.daifuku.co.jp&gt;</t>
  </si>
  <si>
    <t xml:space="preserve"> 城所 弘泰(Hiroyasu KIDOKORO) &lt;hiroyasu_kidokoro@ha.daifuku.co.jp&gt;</t>
  </si>
  <si>
    <t xml:space="preserve"> 依田 健司(Kenji YODA) &lt;kenji_yoda@ha.daifuku.co.jp&gt;</t>
  </si>
  <si>
    <t xml:space="preserve"> 山口 一綺(Kazuki YAMAGUCHI) &lt;kazuki_yamaguchi@ha.daifuku.co.jp&gt;</t>
  </si>
  <si>
    <t xml:space="preserve"> 西浦 賢一(Kenichi NISHIURA) &lt;kenichi_nishiura@ha.daifuku.co.jp&gt;</t>
  </si>
  <si>
    <t xml:space="preserve"> 清野 一輝(Ikki SEINO) &lt;ikki_seino@ha.daifuku.co.jp&gt;</t>
  </si>
  <si>
    <t xml:space="preserve"> 矢本 魁(Kai YAMOTO) &lt;kai_yamoto@ha.daifuku.co.jp&gt;</t>
  </si>
  <si>
    <t xml:space="preserve"> 神細工 卓真(Takuma KAMIZAIKU) &lt;takuma_kamizaiku@ha.daifuku.co.jp&gt;</t>
  </si>
  <si>
    <t xml:space="preserve"> 松原 健悟(Kengo MATSUBARA) &lt;kengo_matsubara@ha.daifuku.co.jp&gt;</t>
  </si>
  <si>
    <t xml:space="preserve"> 田中 涼太(Ryota TANAKA) &lt;ryota_tanaka-m2@ha.daifuku.co.jp&gt;</t>
  </si>
  <si>
    <t>大川 浄也(Jyouya OKAWA) &lt;jyouya_okawa@ha.daifuku.co.jp&gt;</t>
  </si>
  <si>
    <t xml:space="preserve"> 鬼頭 豪英(Gouei KITO) &lt;gouei_kito@ha.daifuku.co.jp&gt;</t>
  </si>
  <si>
    <t xml:space="preserve"> 寺嶋 剛久(Takehisa TERASHIMA) &lt;takehisa_terashima@ha.daifuku.co.jp&gt;</t>
  </si>
  <si>
    <t xml:space="preserve"> 井上 連太郎(Rentaro INOUE) &lt;rentaro_inoue@ha.daifuku.co.jp&gt;</t>
  </si>
  <si>
    <t xml:space="preserve"> 伊藤 稔(Jin ITO) &lt;jin_ito@ha.daifuku.co.jp&gt;</t>
  </si>
  <si>
    <t xml:space="preserve"> 三浦 孝介(Kosuke MIURA) &lt;kosuke_miura@ha.daifuku.co.jp&gt;</t>
  </si>
  <si>
    <t xml:space="preserve"> 堀切 琢也(Takuya HORIKIRI) &lt;takuya_horikiri@ha.daifuku.co.jp&gt;</t>
  </si>
  <si>
    <t xml:space="preserve"> 幸田 零士(Reiji KODA) &lt;reiji_koda@ha.daifuku.co.jp&gt;</t>
  </si>
  <si>
    <t xml:space="preserve"> 石塚 大貴(Daiki ISHIZUKA) &lt;daiki_ishizuka@ha.daifuku.co.jp&gt;</t>
  </si>
  <si>
    <t xml:space="preserve"> 伊原 修(Osamu IHARA) &lt;osamu_ihara@ha.daifuku.co.jp&gt;</t>
  </si>
  <si>
    <t xml:space="preserve"> 三宅 浩希(Hiroki MIYAKE) &lt;hiroki_miyake@ha.daifuku.co.jp&gt;</t>
  </si>
  <si>
    <t xml:space="preserve"> 元田 幸宏(Yukihiro MOTODA) &lt;yukihiro_motoda@ha.daifuku.co.jp&gt;</t>
  </si>
  <si>
    <t xml:space="preserve"> 鈴木 眞央(Mao SUZUKI) &lt;mao_suzuki@ha.daifuku.co.jp&gt;</t>
  </si>
  <si>
    <t xml:space="preserve"> 森塚 涼太(Ryouta MORITSUKA) &lt;ryouta_moritsuka@ha.daifuku.co.jp&gt;</t>
  </si>
  <si>
    <t xml:space="preserve"> 小栗 寛(Kan OGURI) &lt;kan_oguri@ha.daifuku.co.jp&gt;</t>
  </si>
  <si>
    <t xml:space="preserve"> 中田 滉人(Hiroto NAKADA) &lt;hiroto_nakada@ha.daifuku.co.jp&gt;</t>
  </si>
  <si>
    <t xml:space="preserve"> 下里 光平(Kohei SHIMOSATO) &lt;kohei_shimosato@ha.daifuku.co.jp&gt;</t>
  </si>
  <si>
    <t xml:space="preserve"> 参沢 龍樹(Ryuki MISAWA) &lt;ryuki_misawa@ha.daifuku.co.jp&gt;</t>
  </si>
  <si>
    <t xml:space="preserve"> 万代 大道(Hiromichi BANDAI) &lt;hiromichi_bandai@ha.daifuku.co.jp&gt;</t>
  </si>
  <si>
    <t xml:space="preserve"> 齋藤 嗣温(Shion SAITO) &lt;shion_saito@ha.daifuku.co.jp&gt;</t>
  </si>
  <si>
    <t xml:space="preserve"> 今井 悠人(Yuuto IMAI) &lt;yuuto_imai@ha.daifuku.co.jp&gt;</t>
  </si>
  <si>
    <t xml:space="preserve"> 東 真平(Shimpei AZUMA) &lt;shimpei_azuma@ha.daifuku.co.jp&gt;</t>
  </si>
  <si>
    <t xml:space="preserve"> 今井 翔天(Shoma IMAI) &lt;shoma_imai@ha.daifuku.co.jp&gt;</t>
  </si>
  <si>
    <t xml:space="preserve"> 可児 正樹(Masaki KANI) &lt;masaki_kani@ha.daifuku.co.jp&gt;</t>
  </si>
  <si>
    <t xml:space="preserve"> 久保 篤司(Atsushi KUBO) &lt;atsushi_kubo@ha.daifuku.co.jp&gt;</t>
  </si>
  <si>
    <t xml:space="preserve"> 奥田 永遠(Towa OKUDA) &lt;towa_okuda@ha.daifuku.co.jp&gt;</t>
  </si>
  <si>
    <t xml:space="preserve"> 神田 匡祐(Kyosuke KANDA) &lt;kyosuke_kanda@ha.daifuku.co.jp&gt;</t>
  </si>
  <si>
    <t xml:space="preserve"> 中島 一樹(Kazuki NAKASHIMA) &lt;kazuki_nakashima@ha.daifuku.co.jp&gt;</t>
  </si>
  <si>
    <t xml:space="preserve"> 青山 慎(Shin AOYAMA) &lt;shin_aoyama@ha.daifuku.co.jp&gt;</t>
  </si>
  <si>
    <t xml:space="preserve"> 佐野 敦士(Atsushi SANO) &lt;atsushi_sano@ha.daifuku.co.jp&gt;</t>
  </si>
  <si>
    <t xml:space="preserve"> 高橋 哲哉(Tetsuya TAKAHASHI) &lt;tetsuya_takahashi@ha.daifuku.co.jp&gt;</t>
  </si>
  <si>
    <t xml:space="preserve"> 中川 祐太(Yuta NAKAGAWA) &lt;yuta_nakagawa-m1@ha.daifuku.co.jp&gt;</t>
  </si>
  <si>
    <t xml:space="preserve"> 河埜 俊恭(Syunsuke KAWANO) &lt;syunsuke_kawano@ha.daifuku.co.jp&gt;</t>
  </si>
  <si>
    <t xml:space="preserve"> 浅野 隆誠(Ryusei ASANO) &lt;ryusei_asano@ha.daifuku.co.jp&gt;</t>
  </si>
  <si>
    <t xml:space="preserve"> 本田 智輝(Tomoki HONDA) &lt;tomoki_honda@ha.daifuku.co.jp&gt;</t>
  </si>
  <si>
    <t xml:space="preserve"> 寺川 悠太(Yuta TERAKAWA) &lt;yuta_terakawa@ha.daifuku.co.jp&gt;</t>
  </si>
  <si>
    <t xml:space="preserve"> 鈴木 貴大(Takahiro SUZUKI) &lt;takahiro_suzuki@ha.daifuku.co.jp&gt;</t>
  </si>
  <si>
    <t xml:space="preserve"> 山畑 直人(Naoto YAMAHATA) &lt;naoto_yamahata@ha.daifuku.co.jp&gt;</t>
  </si>
  <si>
    <t xml:space="preserve"> 松本 侑之(Yukinobu MATSUMOTO) &lt;yukinobu_matsumoto@ha.daifuku.co.jp&gt;</t>
  </si>
  <si>
    <t xml:space="preserve"> 小泉 誠也(Seiya KOIZUMI) &lt;seiya_koizumi@ha.daifuku.co.jp&gt;</t>
  </si>
  <si>
    <t xml:space="preserve"> 坂野 優斗(Yuto SAKANO) &lt;yuto_sakano@ha.daifuku.co.jp&gt;</t>
  </si>
  <si>
    <t xml:space="preserve"> 山口 ヒロト(Hiroto YAMAGUCHI) &lt;hiroto_yamaguchi@ha.daifuku.co.jp&gt;</t>
  </si>
  <si>
    <t xml:space="preserve"> 塩田 俊哉(Toshiya SHIOTA) &lt;toshiya_shiota@ha.daifuku.co.jp&gt;</t>
  </si>
  <si>
    <t xml:space="preserve"> 中東 克矢(Katsuya NAKAHIGASHI) &lt;katsuya_nakahigashi@ha.daifuku.co.jp&gt;</t>
  </si>
  <si>
    <t xml:space="preserve"> 荒木 浩陽(Koyo ARAKI) &lt;koyo_araki-m1@ha.daifuku.co.jp&gt;</t>
  </si>
  <si>
    <t xml:space="preserve"> 川野 直輝(Naoki KAWANO) &lt;naoki_kawano@ha.daifuku.co.jp&gt;</t>
  </si>
  <si>
    <t xml:space="preserve"> 高島 諒也(Ryoya TAKASHIMA) &lt;ryoya_takashima@ha.daifuku.co.jp&gt;</t>
  </si>
  <si>
    <t xml:space="preserve"> 福濱 将史(Masashi FUKUHAMA) &lt;masashi_fukuhama@ha.daifuku.co.jp&gt;</t>
  </si>
  <si>
    <t xml:space="preserve"> 大槻 晋弘(Kunihiro OTSUKI) &lt;kunihiro_otsuki@ha.daifuku.co.jp&gt;</t>
  </si>
  <si>
    <t xml:space="preserve"> 山田 亮(Ryo YAMADA) &lt;ryo_yamada@ha.daifuku.co.jp&gt;</t>
  </si>
  <si>
    <t xml:space="preserve"> 中山 太晴(Taisei NAKAYAMA) &lt;taisei_nakayama@ha.daifuku.co.jp&gt;</t>
  </si>
  <si>
    <t xml:space="preserve"> 前住 尚輝(Naoki MAEZUMI) &lt;naoki_maezumi@ha.daifuku.co.jp&gt;</t>
  </si>
  <si>
    <t xml:space="preserve"> 髙見 健人(Kento TAKAMI) &lt;kento_takami@ha.daifuku.co.jp&gt;</t>
  </si>
  <si>
    <t xml:space="preserve"> 粟井 大翔(Hiroto AWAI) &lt;hiroto_awai@ha.daifuku.co.jp&gt;</t>
  </si>
  <si>
    <t xml:space="preserve"> 和田 潤(Jun WADA) &lt;jun_wada@ha.daifuku.co.jp&gt;</t>
  </si>
  <si>
    <t xml:space="preserve"> 中本 凜(Rin NAKAMOTO) &lt;rin_nakamoto@ha.daifuku.co.jp&gt;</t>
  </si>
  <si>
    <t xml:space="preserve"> 佐藤 良樹(Yoshiki SATO) &lt;yoshiki_sato@ha.daifuku.co.jp&gt;</t>
  </si>
  <si>
    <t xml:space="preserve"> 大西 一平(Ippei OONISHI) &lt;ippei_oonishi@ha.daifuku.co.jp&gt;</t>
  </si>
  <si>
    <t xml:space="preserve"> 芝 大貴(Taiki SHIBA) &lt;taiki_shiba@ha.daifuku.co.jp&gt;</t>
  </si>
  <si>
    <t xml:space="preserve"> 二宮 雄斗(Yuto NINOMIYA) &lt;yuto_ninomiya@ha.daifuku.co.jp&gt;</t>
  </si>
  <si>
    <t xml:space="preserve"> 山本 祐(Yu YAMAMOTO) &lt;yu_yamamoto@ha.daifuku.co.jp&gt;</t>
  </si>
  <si>
    <t xml:space="preserve"> 越打 祐司(Yuji KOSHIUCHI) &lt;yuji_koshiuchi@ha.daifuku.co.jp&gt;</t>
  </si>
  <si>
    <t xml:space="preserve"> 竹部 辰彦(Tatsuhiko TAKEBE) &lt;tatsuhiko_takebe@ha.daifuku.co.jp&gt;</t>
  </si>
  <si>
    <t xml:space="preserve"> 土田 真也(Masaya TSUCHIDA) &lt;masaya_tsuchida@ha.daifuku.co.jp&gt;</t>
  </si>
  <si>
    <t xml:space="preserve"> 北川 優哉(Yuya KITAGAWA) &lt;yuya_kitagawa@ha.daifuku.co.jp&gt;</t>
  </si>
  <si>
    <t xml:space="preserve"> 東内 龍弥(Tatsuya TONAI) &lt;tatsuya_tonai@ha.daifuku.co.jp&gt;</t>
  </si>
  <si>
    <t xml:space="preserve"> 中村 和磨(Kazuma NAKAMURA) &lt;kazuma_nakamura@ha.daifuku.co.jp&gt;</t>
  </si>
  <si>
    <t xml:space="preserve"> 小山 源貴(Genki KOYAMA) &lt;genki_koyama@ha.daifuku.co.jp&gt;</t>
  </si>
  <si>
    <t xml:space="preserve"> 西村 亮海(Katsumi NISHIMURA) &lt;katsumi_nishimura@ha.daifuku.co.jp&gt;</t>
  </si>
  <si>
    <t>大越 卓也(Takuya OGOSHI) &lt;takuya_ogoshi@ha.daifuku.co.jp&gt;</t>
  </si>
  <si>
    <t xml:space="preserve"> 福原 康徳(Yasunori FUKUHARA) &lt;yasunori_fukuhara@ha.daifuku.co.jp&gt;</t>
  </si>
  <si>
    <t xml:space="preserve"> 榊原 一聡(Kazutoshi SAKAKIBARA) &lt;kazutoshi_sakakibara@ha.daifuku.co.jp&gt;</t>
  </si>
  <si>
    <t xml:space="preserve"> 中川 卓哉(Takuya NAKAGAWA) &lt;takuya_nakagawa@ha.daifuku.co.jp&gt;</t>
  </si>
  <si>
    <t xml:space="preserve"> 南 健一朗(Kenichirou MINAMI) &lt;kenichirou_minami@ha.daifuku.co.jp&gt;</t>
  </si>
  <si>
    <t xml:space="preserve"> 上村 政樹(Masaki KAMIMURA) &lt;masaki_kamimura@ha.daifuku.co.jp&gt;</t>
  </si>
  <si>
    <t xml:space="preserve"> 住本 智紀(Tomoki SUMIMOTO) &lt;tomoki_sumimoto@ha.daifuku.co.jp&gt;</t>
  </si>
  <si>
    <t xml:space="preserve"> 松浦 遼(Ryo MATSUURA) &lt;ryo_matsuura-m1@ha.daifuku.co.jp&gt;</t>
  </si>
  <si>
    <t xml:space="preserve"> 吉井 翔太(Syouta YOSHII) &lt;syouta_yoshii@ha.daifuku.co.jp&gt;</t>
  </si>
  <si>
    <t xml:space="preserve"> 力谷 優輝(Yuki CHIKATANI) &lt;yuki_chikatani@ha.daifuku.co.jp&gt;</t>
  </si>
  <si>
    <t xml:space="preserve"> 丸山 敬(Takashi MARUYAMA) &lt;takashi_maruyama@ha.daifuku.co.jp&gt;</t>
  </si>
  <si>
    <t xml:space="preserve"> 上間 隆司(Ryuji UEMA) &lt;ryuji_uema@ha.daifuku.co.jp&gt;</t>
  </si>
  <si>
    <t xml:space="preserve"> 久保田 龍(Ryo KUBOTA) &lt;ryo_kubota@ha.daifuku.co.jp&gt;</t>
  </si>
  <si>
    <t xml:space="preserve"> 三宅 諒(Makoto MIYAKE) &lt;makoto_miyake@ha.daifuku.co.jp&gt;</t>
  </si>
  <si>
    <t xml:space="preserve"> 渡邊 諒(Ryo WATANABE) &lt;ryo_watanabe@ha.daifuku.co.jp&gt;</t>
  </si>
  <si>
    <t xml:space="preserve"> 宮岡 和輝(Kazuki MIYAOKA) &lt;kazuki_miyaoka@ha.daifuku.co.jp&gt;</t>
  </si>
  <si>
    <t xml:space="preserve"> 河村 巧太(Kota KAWAMURA) &lt;kota_kawamura@ha.daifuku.co.jp&gt;</t>
  </si>
  <si>
    <t xml:space="preserve"> 三上 忠幹(Tadamoto MIKAMI) &lt;tadamoto_mikami@ha.daifuku.co.jp&gt;</t>
  </si>
  <si>
    <t xml:space="preserve"> 中川 裕太(Yuta NAKAGAWA) &lt;yuta_nakagawa@ha.daifuku.co.jp&gt;</t>
  </si>
  <si>
    <t xml:space="preserve"> 内山 達貴(Tatsuki UCHIYAMA) &lt;tatsuki_uchiyama@ha.daifuku.co.jp&gt;</t>
  </si>
  <si>
    <t xml:space="preserve"> 増木 義久(Yoshihisa MASUKI) &lt;yoshihisa_masuki@ha.daifuku.co.jp&gt;</t>
  </si>
  <si>
    <t xml:space="preserve"> 浅元 良太(Ryouta ASAMOTO) &lt;ryouta_asamoto@ha.daifuku.co.jp&gt;</t>
  </si>
  <si>
    <t xml:space="preserve"> 横山 貴郁(Takafumi YOKOYAMA) &lt;takafumi_yokoyama@ha.daifuku.co.jp&gt;</t>
  </si>
  <si>
    <t xml:space="preserve"> 中谷 翔太(Shota NAKATANI) &lt;shota_nakatani@ha.daifuku.co.jp&gt;</t>
  </si>
  <si>
    <t xml:space="preserve"> 村上 幸輝(Kouki MURAKAMI) &lt;kouki_murakami@ha.daifuku.co.jp&gt;</t>
  </si>
  <si>
    <t xml:space="preserve"> 藤田 和幸(Kazuyuki FUJITA) &lt;kazuyuki_fujita@ha.daifuku.co.jp&gt;</t>
  </si>
  <si>
    <t xml:space="preserve"> 大坪 充幸(Mituyuki OOTUBO) &lt;mituyuki_ootubo@ha.daifuku.co.jp&gt;</t>
  </si>
  <si>
    <t xml:space="preserve"> 野嶋 俊輝(Toshiki NOJIMA) &lt;toshiki_nojima@ha.daifuku.co.jp&gt;</t>
  </si>
  <si>
    <t xml:space="preserve"> 豊増 凌(Ryo TOYOMASU) &lt;ryo_toyomasu@ha.daifuku.co.jp&gt;</t>
  </si>
  <si>
    <t xml:space="preserve"> 中島 康博(Yasuhiro NAKASHIMA) &lt;yasuhiro_nakashima@ha.daifuku.co.jp&gt;</t>
  </si>
  <si>
    <t xml:space="preserve"> 揚村 一斗(Kazuto AGEMURA) &lt;kazuto_agemura@ha.daifuku.co.jp&gt;</t>
  </si>
  <si>
    <t xml:space="preserve"> 堤 隼翔(Hayato TSUTSUMI) &lt;hayato_tsutsumi@ha.daifuku.co.jp&gt;</t>
  </si>
  <si>
    <t xml:space="preserve"> 鈴木 自然(Neito SUZUKI) &lt;neito_suzuki@ha.daifuku.co.jp&gt;</t>
  </si>
  <si>
    <t xml:space="preserve"> 安都間 聖矢(Seiya AZUMA) &lt;seiya_azuma@ha.daifuku.co.jp&gt;</t>
  </si>
  <si>
    <t xml:space="preserve"> 須川 晃次(Koji SUGAWA) &lt;koji_sugawa@ha.daifuku.co.jp&gt;</t>
  </si>
  <si>
    <t xml:space="preserve"> 原 辰也(Tatuya HARA) &lt;tatuya_hara@ha.daifuku.co.jp&gt;</t>
  </si>
  <si>
    <t xml:space="preserve"> 松嶋 拓海(Takumi MATSUSHIMA) &lt;takumi_matsushima@ha.daifuku.co.jp&gt;</t>
  </si>
  <si>
    <t xml:space="preserve"> 杉永 和隆(Kazutaka SUGINAGA) &lt;kazutaka_suginaga@ha.daifuku.co.jp&gt;</t>
  </si>
  <si>
    <t xml:space="preserve"> 嘉副 亨(Tooru KAZOE) &lt;tooru_kazoe@ha.daifuku.co.jp&gt;</t>
  </si>
  <si>
    <t xml:space="preserve"> 森 竜哉(Tatsuya MORI) &lt;tatsuya_mori@ha.daifuku.co.jp&gt;</t>
  </si>
  <si>
    <t>西村 直樹(Naoki NISHIMURA) &lt;naoki_nishimura@ha.daifuku.co.jp&gt;</t>
  </si>
  <si>
    <t xml:space="preserve"> 川又 英宏(Hidehiro KAWAMATA) &lt;hidehiro_kawamata@ha.daifuku.co.jp&gt;</t>
  </si>
  <si>
    <t xml:space="preserve"> 福永 亮(Akira FUKUNAGA) &lt;akira_fukunaga@ha.daifuku.co.jp&gt;</t>
  </si>
  <si>
    <t xml:space="preserve"> 岡崎 聡(Satoshi OKAZAKI) &lt;satoshi_okazaki@ha.daifuku.co.jp&gt;</t>
  </si>
  <si>
    <t xml:space="preserve"> 池原 康孝(Yasutaka IKEHARA) &lt;yasutaka_ikehara@ha.daifuku.co.jp&gt;</t>
  </si>
  <si>
    <t xml:space="preserve"> 猪田 直哉(Naoya INODA) &lt;naoya_inoda@ha.daifuku.co.jp&gt;</t>
  </si>
  <si>
    <t xml:space="preserve"> 竹村 安弘(Yasuhiro TAKEMURA) &lt;yasuhiro_takemura@ha.daifuku.co.jp&gt;</t>
  </si>
  <si>
    <t xml:space="preserve"> 川東 裕幸(Hiroyuki KAWAHIGASHI) &lt;hiroyuki_kawahigashi@ha.daifuku.co.jp&gt;</t>
  </si>
  <si>
    <t xml:space="preserve"> 山下 恵美(Megumi YAMASHITA) &lt;megumi_yamashita@ha.daifuku.co.jp&gt;</t>
  </si>
  <si>
    <t xml:space="preserve"> 前川 泰史(Yasushi MAEKAWA) &lt;yasushi_maekawa@ha.daifuku.co.jp&gt;</t>
  </si>
  <si>
    <t xml:space="preserve"> 小林 かおり(Kaori KOBAYASHI) &lt;kaori_kobayashi@ha.daifuku.co.jp&gt;</t>
  </si>
  <si>
    <t xml:space="preserve"> 酒井 敏行(Toshiyuki SAKAI) &lt;toshiyuki_sakai@ha.daifuku.co.jp&gt;</t>
  </si>
  <si>
    <t xml:space="preserve"> 山下 雅史(Masafumi YAMASHITA) &lt;masafumi_yamashita@ha.daifuku.co.jp&gt;</t>
  </si>
  <si>
    <t xml:space="preserve"> 岸 篤志(Atsushi KISHI) &lt;atsushi_kishi@ha.daifuku.co.jp&gt;</t>
  </si>
  <si>
    <t xml:space="preserve"> 大戸 一平(Ippei OOTO) &lt;ippei_ooto@ha.daifuku.co.jp&gt;</t>
  </si>
  <si>
    <t xml:space="preserve"> 早稲田 遼(Ryo WASEDA) &lt;ryo_waseda@ha.daifuku.co.jp&gt;</t>
  </si>
  <si>
    <t xml:space="preserve"> 柳原 裕貴(Hiroki YANAGIHARA) &lt;hiroki_yanagihara@ha.daifuku.co.jp&gt;</t>
  </si>
  <si>
    <t xml:space="preserve"> 中嶋 謙太(Kenta NAKAJIMA) &lt;kenta_nakajima-m1@ha.daifuku.co.jp&gt;</t>
  </si>
  <si>
    <t xml:space="preserve"> 今井 理人(Masato IMAI) &lt;masato_imai@ha.daifuku.co.jp&gt;</t>
  </si>
  <si>
    <t xml:space="preserve"> 中 貴博(Takahiro NAKA) &lt;takahiro_naka@ha.daifuku.co.jp&gt;</t>
  </si>
  <si>
    <t xml:space="preserve"> 原田 怜(Satoshi HARADA) &lt;satoshi_harada-m2@ha.daifuku.co.jp&gt;</t>
  </si>
  <si>
    <t xml:space="preserve"> 廣瀬 功弥(Katsuya HIROSE) &lt;katsuya_hirose@ha.daifuku.co.jp&gt;</t>
  </si>
  <si>
    <t xml:space="preserve"> 森島 俊幸(Toshiyuki MORISHIMA) &lt;toshiyuki_morishima@ha.daifuku.co.jp&gt;</t>
  </si>
  <si>
    <t xml:space="preserve"> 河野 世治(Seiji KAWANO) &lt;seiji_kawano@ha.daifuku.co.jp&gt;</t>
  </si>
  <si>
    <t xml:space="preserve"> 大林 眞二(Shinji OBAYASHI) &lt;shinji_obayashi@ha.daifuku.co.jp&gt;</t>
  </si>
  <si>
    <t xml:space="preserve"> 高橋 靖(Yasushi TAKAHASHI) &lt;yasushi_takahashi@ha.daifuku.co.jp&gt;</t>
  </si>
  <si>
    <t xml:space="preserve"> 青木 麻子(Asako AOKI) &lt;asako_aoki@ha.daifuku.co.jp&gt;</t>
  </si>
  <si>
    <t xml:space="preserve"> 松下 浩樹(Koki MATSUSHITA) &lt;koki_matsushita@ha.daifuku.co.jp&gt;</t>
  </si>
  <si>
    <t xml:space="preserve"> 竹村 朱梨(Akari TAKEMURA) &lt;akari_takemura-m1@ha.daifuku.co.jp&gt;</t>
  </si>
  <si>
    <t xml:space="preserve"> 梶山 あや乃(Ayano KAJIYAMA) &lt;ayano_kajiyama-m1@ha.daifuku.co.jp&gt;</t>
  </si>
  <si>
    <t xml:space="preserve"> 立原 雅美(Masami TACHIHARA) &lt;masami_tachihara@ha.daifuku.co.jp&gt;</t>
  </si>
  <si>
    <t xml:space="preserve"> 北村 友美(Tomomi NAKAMURA) &lt;tomomi_nakamura@ha.daifuku.co.jp&gt;</t>
  </si>
  <si>
    <t xml:space="preserve"> 入江 美紀(Miki IRIE) &lt;miki_irie-m1@ha.daifuku.co.jp&gt;</t>
  </si>
  <si>
    <t xml:space="preserve"> Emily SILVA &lt;emily_silva@ha.daifuku.co.jp&gt;</t>
  </si>
  <si>
    <t xml:space="preserve"> 川北 厳己(Genki KAWAKITA) &lt;genki_kawakita@ha.daifuku.co.jp&gt;</t>
  </si>
  <si>
    <t xml:space="preserve"> 小林 靖(Yasushi KOBAYASHI) &lt;yasushi_kobayashi@ha.daifuku.co.jp&gt;</t>
  </si>
  <si>
    <t xml:space="preserve"> 三谷 博久(Hirohisa MITANI) &lt;hirohisa_mitani@ha.daifuku.co.jp&gt;</t>
  </si>
  <si>
    <t xml:space="preserve"> 田中 不二男(Fujio TANAKA) &lt;fujio_tanaka@ha.daifuku.co.jp&gt;</t>
  </si>
  <si>
    <t xml:space="preserve"> 古賀 祐介(Yusuke KOGA) &lt;yusuke_koga@ha.daifuku.co.jp&gt;</t>
  </si>
  <si>
    <t xml:space="preserve"> 豊川 博之(Hiroyuki TOYOKAWA) &lt;hiroyuki_toyokawa@ha.daifuku.co.jp&gt;</t>
  </si>
  <si>
    <t xml:space="preserve"> 小橋 宏(Hiromu KOBASHI) &lt;hiromu_kobashi@ha.daifuku.co.jp&gt;</t>
  </si>
  <si>
    <t xml:space="preserve"> 加藤 雅基(Masaki KATO) &lt;masaki_kato@ha.daifuku.co.jp&gt;</t>
  </si>
  <si>
    <t xml:space="preserve"> 小林 幹幸(Yoshiyuki KOBAYASHI) &lt;yoshiyuki_kobayashi@ha.daifuku.co.jp&gt;</t>
  </si>
  <si>
    <t xml:space="preserve"> 山内 翔矢(Shoya YAMAUCHI) &lt;shoya_yamauchi@ha.daifuku.co.jp&gt;</t>
  </si>
  <si>
    <t xml:space="preserve"> 青山 直樹(Naoki AOYAMA) &lt;naoki_aoyama@ha.daifuku.co.jp&gt;</t>
  </si>
  <si>
    <t xml:space="preserve"> 屋代 健太(Kenta YASHIRO) &lt;kenta_yashiro-m1@ha.daifuku.co.jp&gt;</t>
  </si>
  <si>
    <t xml:space="preserve"> 中善寺 雅人(Masato CHUZENJI) &lt;masato_chuzenji@ha.daifuku.co.jp&gt;</t>
  </si>
  <si>
    <t xml:space="preserve"> 辰己 豊(Yutaka TATSUMI) &lt;yutaka_tatsumi@ha.daifuku.co.jp&gt;</t>
  </si>
  <si>
    <t xml:space="preserve"> 片岡 建一郎(Kenichirou KATAOKA) &lt;kenichirou_kataoka@ha.daifuku.co.jp&gt;</t>
  </si>
  <si>
    <t xml:space="preserve"> 羽田 明弘(Akihiro HADA) &lt;akihiro_hada@ha.daifuku.co.jp&gt;</t>
  </si>
  <si>
    <t xml:space="preserve"> 中岸 忍(Shinobu NAKAGISHI) &lt;shinobu_nakagishi@ha.daifuku.co.jp&gt;</t>
  </si>
  <si>
    <t xml:space="preserve"> 神藤 泰成(Yasunari SHINDO) &lt;yasunari_shindo@ha.daifuku.co.jp&gt;</t>
  </si>
  <si>
    <t xml:space="preserve"> 林 大貴(Daiki HAYASI) &lt;daiki_hayasi@ha.daifuku.co.jp&gt;</t>
  </si>
  <si>
    <t xml:space="preserve"> 北川 宜継(Yoshitugu KITAGAWA) &lt;yoshitugu_kitagawa@ha.daifuku.co.jp&gt;</t>
  </si>
  <si>
    <t xml:space="preserve"> 三宅 孝典(Takanori MIYAKE) &lt;takanori_miyake@ha.daifuku.co.jp&gt;</t>
  </si>
  <si>
    <t xml:space="preserve"> 松田 尭明(Takaaki MATSUDA) &lt;takaaki_matsuda@ha.daifuku.co.jp&gt;</t>
  </si>
  <si>
    <t xml:space="preserve"> 広沢 敏之(Toshiyuki HIROSAWA) &lt;toshiyuki_hirosawa@ha.daifuku.co.jp&gt;</t>
  </si>
  <si>
    <t xml:space="preserve"> 伊佐地 賢大(Kenta ISAJI) &lt;kenta_isaji@ha.daifuku.co.jp&gt;</t>
  </si>
  <si>
    <t xml:space="preserve"> 武藤 浩章(Hiroaki MUTO) &lt;hiroaki_muto@ha.daifuku.co.jp&gt;</t>
  </si>
  <si>
    <t xml:space="preserve"> 矢田部 彩香(Ayaka YATABE) &lt;ayaka_yatabe@ha.daifuku.co.jp&gt;</t>
  </si>
  <si>
    <t xml:space="preserve"> 吉村 仁志(Hitoshi YOSHIMURA) &lt;hitoshi_yoshimura@ha.daifuku.co.jp&gt;</t>
  </si>
  <si>
    <t xml:space="preserve"> 山口 歩(Ayumi YAMAGUCHI) &lt;ayumi_yamaguchi@ha.daifuku.co.jp&gt;</t>
  </si>
  <si>
    <t xml:space="preserve"> 佐藤 輔(Tasuku SATOU) &lt;tasuku_satou@ha.daifuku.co.jp&gt;</t>
  </si>
  <si>
    <t xml:space="preserve"> 佐藤 雄一(Yuichi SATO) &lt;yuichi_sato@ha.daifuku.co.jp&gt;</t>
  </si>
  <si>
    <t xml:space="preserve"> 小垂 学(Manabu OTARU) &lt;manabu_otaru@ha.daifuku.co.jp&gt;</t>
  </si>
  <si>
    <t xml:space="preserve"> 荻田 大夢(Hiromu OGITA) &lt;hiromu_ogita@ha.daifuku.co.jp&gt;</t>
  </si>
  <si>
    <t xml:space="preserve"> 土井 政輝(Masateru DOI) &lt;masateru_doi@ha.daifuku.co.jp&gt;</t>
  </si>
  <si>
    <t xml:space="preserve"> 阿部 吉朗(Yoshirou ABE) &lt;yoshirou_abe@ha.daifuku.co.jp&gt;</t>
  </si>
  <si>
    <t xml:space="preserve"> 守永 新一(Shinichi MORINAGA) &lt;shinichi_morinaga@ha.daifuku.co.jp&gt;</t>
  </si>
  <si>
    <t xml:space="preserve"> 吉田 功(Isao YOSHIDA) &lt;isao_yoshida@ha.daifuku.co.jp&gt;</t>
  </si>
  <si>
    <t xml:space="preserve"> 小森 美沙(Misa KOMORI) &lt;misa_komori@ha.daifuku.co.jp&gt;</t>
  </si>
  <si>
    <t xml:space="preserve"> 山本 美由紀(Miyuki YAMAMOTO) &lt;miyuki_yamamoto@ha.daifuku.co.jp&gt;</t>
  </si>
  <si>
    <t xml:space="preserve"> 服部 幸夫(Yukio HATTORI) &lt;yukio_hattori@ha.daifuku.co.jp&gt;</t>
  </si>
  <si>
    <t xml:space="preserve"> 上田 雅弘(Masahiro UEDA) &lt;masahiro_ueda@ha.daifuku.co.jp&gt;</t>
  </si>
  <si>
    <t xml:space="preserve"> 塚越 琢慈(Takuji TSUKAGOSHI) &lt;takuji_tsukagoshi@ha.daifuku.co.jp&gt;</t>
  </si>
  <si>
    <t xml:space="preserve"> 清水 健(Takeshi SHIMIZU) &lt;takeshi_shimizu@ha.daifuku.co.jp&gt;</t>
  </si>
  <si>
    <t xml:space="preserve"> 前田 昌之(Masayuki MAEDA) &lt;masayuki_maeda@ha.daifuku.co.jp&gt;</t>
  </si>
  <si>
    <t xml:space="preserve"> 大庭 国夫(Kunio OOBA) &lt;kunio_ooba@ha.daifuku.co.jp&gt;</t>
  </si>
  <si>
    <t xml:space="preserve"> 兼田 善博(Yoshihiro KANEDA) &lt;yoshihiro_kaneda@ha.daifuku.co.jp&gt;</t>
  </si>
  <si>
    <t xml:space="preserve"> 原田 俊幸(Toshiyuki HARADA) &lt;toshiyuki_harada@ha.daifuku.co.jp&gt;</t>
  </si>
  <si>
    <t xml:space="preserve"> 塚田 良文(Yoshifumi TSUKADA) &lt;yoshifumi_tsukada@ha.daifuku.co.jp&gt;</t>
  </si>
  <si>
    <t xml:space="preserve"> 江口 健一郎(Kenichirou EGUCHI) &lt;kenichirou_eguchi@ha.daifuku.co.jp&gt;</t>
  </si>
  <si>
    <t xml:space="preserve"> 内堀 勝弘(Katsuhiro UCHIBORI) &lt;katsuhiro_uchibori@ha.daifuku.co.jp&gt;</t>
  </si>
  <si>
    <t xml:space="preserve"> 森田 あゆみ(Ayumi MORITA) &lt;ayumi_morita@ha.daifuku.co.jp&gt;</t>
  </si>
  <si>
    <t xml:space="preserve"> 澤口 和也(Kazuya SAWAGUCHI) &lt;kazuya_sawaguchi@ha.daifuku.co.jp&gt;</t>
  </si>
  <si>
    <t xml:space="preserve"> 水野 敬也(Takaya MIZUNO) &lt;takaya_mizuno@ha.daifuku.co.jp&gt;</t>
  </si>
  <si>
    <t xml:space="preserve"> 泰井 賢一(Kenichi TAII) &lt;kenichi_taii@ha.daifuku.co.jp&gt;</t>
  </si>
  <si>
    <t xml:space="preserve"> 横山 文秀(Bunshu YOKOYAMA) &lt;bunshu_yokoyama@ha.daifuku.co.jp&gt;</t>
  </si>
  <si>
    <t xml:space="preserve"> 北本 幸治(Kouji KITAMOTO) &lt;kouji_kitamoto@ha.daifuku.co.jp&gt;</t>
  </si>
  <si>
    <t xml:space="preserve"> 河野 敦士(Atsushi KONO) &lt;atsushi_kono@ha.daifuku.co.jp&gt;</t>
  </si>
  <si>
    <t xml:space="preserve"> 久田 亮(Ryo HISADA) &lt;ryo_hisada@ha.daifuku.co.jp&gt;</t>
  </si>
  <si>
    <t xml:space="preserve"> 大野 圭介(Keisuke OHNO) &lt;keisuke_ohno@ha.daifuku.co.jp&gt;</t>
  </si>
  <si>
    <t xml:space="preserve"> 山本 浩司(Koji YAMAMOT) &lt;koji_yamamot@ha.daifuku.co.jp&gt;</t>
  </si>
  <si>
    <t xml:space="preserve"> 王 晶晨(Jingchen WANG) &lt;jingchen_wang@ha.daifuku.co.jp&gt;</t>
  </si>
  <si>
    <t xml:space="preserve"> 西尾 真理子(Mariko NISHIO) &lt;mariko_nishio-m1@ha.daifuku.co.jp&gt;</t>
  </si>
  <si>
    <t xml:space="preserve"> 永石 洋三(Yozo NAGAISHI) &lt;yozo_nagaishi@ha.daifuku.co.jp&gt;</t>
  </si>
  <si>
    <t xml:space="preserve"> 鮎沢 将夫(Masao AYUZAWA) &lt;masao_ayuzawa@ha.daifuku.co.jp&gt;</t>
  </si>
  <si>
    <t xml:space="preserve"> 木島 庸介(Yousuke KIJIMA) &lt;yousuke_kijima@ha.daifuku.co.jp&gt;</t>
  </si>
  <si>
    <t xml:space="preserve"> 功刀 信一(Shinichi KUNUGI) &lt;shinichi_kunugi@ha.daifuku.co.jp&gt;</t>
  </si>
  <si>
    <t xml:space="preserve"> 奥村 真(Makoto OKUMURA) &lt;makoto_okumura@ha.daifuku.co.jp&gt;</t>
  </si>
  <si>
    <t xml:space="preserve"> 高宮 博光(Hiromitsu TAKAMIYA) &lt;hiromitsu_takamiya@ha.daifuku.co.jp&gt;</t>
  </si>
  <si>
    <t xml:space="preserve"> 高桑 啓介(Keisuke TAKAKUWA) &lt;keisuke_takakuwa@ha.daifuku.co.jp&gt;</t>
  </si>
  <si>
    <t xml:space="preserve"> 林 真帆(Maho HAYASHI) &lt;maho_hayashi@ha.daifuku.co.jp&gt;</t>
  </si>
  <si>
    <t xml:space="preserve"> 岡嶋 伸二(Shinji OKAJIMA) &lt;shinji_okajima@ha.daifuku.co.jp&gt;</t>
  </si>
  <si>
    <t xml:space="preserve"> 松山 順一朗(Junichiro MATSUYAMA) &lt;junichiro_matsuyama@ha.daifuku.co.jp&gt;</t>
  </si>
  <si>
    <t xml:space="preserve"> 二宮 隆志(Ryuji NINOMIYA) &lt;ryuji_ninomiya@ha.daifuku.co.jp&gt;</t>
  </si>
  <si>
    <t xml:space="preserve"> 千田 英美(Emi YAGI) &lt;emi_yagi@ha.daifuku.co.jp&gt;</t>
  </si>
  <si>
    <t xml:space="preserve"> 坂野 智彬(Tomoaki SAKANO) &lt;tomoaki_sakano@ha.daifuku.co.jp&gt;</t>
  </si>
  <si>
    <t xml:space="preserve"> 上神田 栄司(Eiji UEJINDA) &lt;eiji_uejinda@ha.daifuku.co.jp&gt;</t>
  </si>
  <si>
    <t xml:space="preserve"> LEE JONGHYUN(Jonghyun LEE) &lt;jonghyun_lee-m1@ha.daifuku.co.jp&gt;</t>
  </si>
  <si>
    <t xml:space="preserve"> 袁 宇希(Yuxi YUAN) &lt;yuxi_yuan@ha.daifuku.co.jp&gt;</t>
  </si>
  <si>
    <t xml:space="preserve"> Manh VANTUAN &lt;manh_vantuan@ha.daifuku.co.jp&gt;</t>
  </si>
  <si>
    <t xml:space="preserve"> 猪田 大輝(Daiki INODA) &lt;daiki_inoda@ha.daifuku.co.jp&gt;</t>
  </si>
  <si>
    <t xml:space="preserve"> 奥田 大樹(Hiroki OKUDA) &lt;hiroki_okuda@ha.daifuku.co.jp&gt;</t>
  </si>
  <si>
    <t xml:space="preserve"> 大木 隼人(Hayato OKI) &lt;hayato_oki@ha.daifuku.co.jp&gt;</t>
  </si>
  <si>
    <t xml:space="preserve"> Trungtin LE &lt;trungtin_le@ha.daifuku.co.jp&gt;</t>
  </si>
  <si>
    <t xml:space="preserve"> 嶋口 大輝(Taiki SHIMAGUCHI) &lt;taiki_shimaguchi@ha.daifuku.co.jp&gt;</t>
  </si>
  <si>
    <t xml:space="preserve"> 片山 大助(Daisuke KATAYAMA) &lt;daisuke_katayama@ha.daifuku.co.jp&gt;</t>
  </si>
  <si>
    <t xml:space="preserve"> 黒澤 文博(Humihiro KUROSAWA) &lt;humihiro_kurosawa@ha.daifuku.co.jp&gt;</t>
  </si>
  <si>
    <t xml:space="preserve"> 長縄 和彦(Kazuhiko NAGANAWA) &lt;kazuhiko_naganawa@ha.daifuku.co.jp&gt;</t>
  </si>
  <si>
    <t xml:space="preserve"> 小川 泰孝(Yasutaka OGAWA) &lt;yasutaka_ogawa@ha.daifuku.co.jp&gt;</t>
  </si>
  <si>
    <t xml:space="preserve"> 宗方 辰三(Tatsuzou MUNAKATA) &lt;tatsuzou_munakata@ha.daifuku.co.jp&gt;</t>
  </si>
  <si>
    <t xml:space="preserve"> 星野 賢史(Satoshi HOSHINO) &lt;satoshi_hoshino@ha.daifuku.co.jp&gt;</t>
  </si>
  <si>
    <t xml:space="preserve"> 鈴木 健一(Kenichi SUZUKI) &lt;kenichi_suzuki@ha.daifuku.co.jp&gt;</t>
  </si>
  <si>
    <t xml:space="preserve"> 加藤 有紗(Arisa KATO) &lt;arisa_kato-m1@ha.daifuku.co.jp&gt;</t>
  </si>
  <si>
    <t xml:space="preserve"> 信田 直樹(Naoki NOBUTA) &lt;naoki_nobuta@ha.daifuku.co.jp&gt;</t>
  </si>
  <si>
    <t xml:space="preserve"> 清水 摩耶(Maya KIYOMIZU) &lt;maya_kiyomizu@ha.daifuku.co.jp&gt;</t>
  </si>
  <si>
    <t xml:space="preserve"> 鈴木 友恵(Tomoe SAKATA) &lt;tomoe_sakata@ha.daifuku.co.jp&gt;</t>
  </si>
  <si>
    <t xml:space="preserve"> 越智 隆行(Takayuki OCHI) &lt;takayuki_ochi@ha.daifuku.co.jp&gt;</t>
  </si>
  <si>
    <t xml:space="preserve"> 水垣 歓奈(Kanna MIZUGAKI) &lt;kanna_mizugaki@ha.daifuku.co.jp&gt;</t>
  </si>
  <si>
    <t xml:space="preserve"> 箱田 恵美(Megumi HAKODA) &lt;megumi_hakoda@ha.daifuku.co.jp&gt;</t>
  </si>
  <si>
    <t xml:space="preserve"> 是枝 直樹(Naoki KOREEDA) &lt;naoki_koreeda@ha.daifuku.co.jp&gt;</t>
  </si>
  <si>
    <t xml:space="preserve"> 川﨑 正義(Masayoshi KAWASAKI) &lt;masayoshi_kawasaki@ha.daifuku.co.jp&gt;</t>
  </si>
  <si>
    <t xml:space="preserve"> 岩瀧 正文(Masafumi IWATAKI) &lt;masafumi_iwataki@ha.daifuku.co.jp&gt;</t>
  </si>
  <si>
    <t xml:space="preserve"> 山本 哲也(Tetsuya YAMAMOTO) &lt;tetsuya_yamamoto@ha.daifuku.co.jp&gt;</t>
  </si>
  <si>
    <t xml:space="preserve"> 伊柳 博(Hiroshi IYANAGI) &lt;hiroshi_iyanagi@ha.daifuku.co.jp&gt;</t>
  </si>
  <si>
    <t xml:space="preserve"> 大倉 興士(Kouji OHKURA) &lt;kouji_ohkura@ha.daifuku.co.jp&gt;</t>
  </si>
  <si>
    <t xml:space="preserve"> 宇田川 晃一(Koichi UDAGAWA) &lt;koichi_udagawa-m1@ha.daifuku.co.jp&gt;</t>
  </si>
  <si>
    <t xml:space="preserve"> 藤田 剛(Takeshi FUJITA) &lt;takeshi_fujita@ha.daifuku.co.jp&gt;</t>
  </si>
  <si>
    <t xml:space="preserve"> 山本 貴之(Takashi YAMAMOTO) &lt;takashi_yamamoto-m1@ha.daifuku.co.jp&gt;</t>
  </si>
  <si>
    <t xml:space="preserve"> 早川 真史(Shinji HAYAKAWA) &lt;shinji_hayakawa@ha.daifuku.co.jp&gt;</t>
  </si>
  <si>
    <t xml:space="preserve"> 橋本 聡(Satoshi HASHIMOTO) &lt;satoshi_hashimoto@ha.daifuku.co.jp&gt;</t>
  </si>
  <si>
    <t xml:space="preserve"> 信田 一徳(Kazunori SHINTA) &lt;kazunori_shinta@ha.daifuku.co.jp&gt;</t>
  </si>
  <si>
    <t xml:space="preserve"> 野本 貴右(Takasuke NOMOTO) &lt;takasuke_nomoto@ha.daifuku.co.jp&gt;</t>
  </si>
  <si>
    <t xml:space="preserve"> 上間 健(Takeshi UEMA) &lt;takeshi_uema@ha.daifuku.co.jp&gt;</t>
  </si>
  <si>
    <t xml:space="preserve"> 土橋 洋一(Youichi DOBASHI) &lt;youichi_dobashi@ha.daifuku.co.jp&gt;</t>
  </si>
  <si>
    <t xml:space="preserve"> 片山 博司(Hiroshi KATAYAMA) &lt;hiroshi_katayama@ha.daifuku.co.jp&gt;</t>
  </si>
  <si>
    <t xml:space="preserve"> 鈴木 和美(Kazumi SUZUKI) &lt;kazumi_suzuki@ha.daifuku.co.jp&gt;</t>
  </si>
  <si>
    <t xml:space="preserve"> 横関 浩代(Hiroyo YOKOZEKI) &lt;hiroyo_yokozeki@ha.daifuku.co.jp&gt;</t>
  </si>
  <si>
    <t xml:space="preserve"> 熊谷 香子(Kyoko KUMAGAI) &lt;kyoko_kumagai@ha.daifuku.co.jp&gt;</t>
  </si>
  <si>
    <t xml:space="preserve"> ブラドリー 聡子(Satoko BRADLEY-M1) &lt;satoko_bradley-m1@ha.daifuku.co.jp&gt;</t>
  </si>
  <si>
    <t xml:space="preserve"> 東郷 進路(Shinro TOUGOU) &lt;shinro_tougou@ha.daifuku.co.jp&gt;</t>
  </si>
  <si>
    <t xml:space="preserve"> 五十嵐 道男(Michio IGARASHI) &lt;michio_igarashi@ha.daifuku.co.jp&gt;</t>
  </si>
  <si>
    <t xml:space="preserve"> 日暮 秀明(Hideaki HIGURASHI) &lt;hideaki_higurashi@ha.daifuku.co.jp&gt;</t>
  </si>
  <si>
    <t xml:space="preserve"> 鳶田 巧治(Kouji TOBITA) &lt;kouji_tobita@ha.daifuku.co.jp&gt;</t>
  </si>
  <si>
    <t xml:space="preserve"> 猪嶋 宏成(Hironari INOSHIMA) &lt;hironari_inoshima@ha.daifuku.co.jp&gt;</t>
  </si>
  <si>
    <t xml:space="preserve"> 安藤 富士雄(Fujio ANDOU) &lt;fujio_andou@ha.daifuku.co.jp&gt;</t>
  </si>
  <si>
    <t xml:space="preserve"> 柿田 哲也(Tetsuya KAKITA) &lt;tetsuya_kakita@ha.daifuku.co.jp&gt;</t>
  </si>
  <si>
    <t xml:space="preserve"> 遠藤 信二(Shinji ENDO) &lt;shinji_endo@ha.daifuku.co.jp&gt;</t>
  </si>
  <si>
    <t xml:space="preserve"> 近藤 秀一(Shuichi KONDO) &lt;shuichi_kondo@ha.daifuku.co.jp&gt;</t>
  </si>
  <si>
    <t xml:space="preserve"> 原 伸浩(Nobuhiro HARA) &lt;nobuhiro_hara@ha.daifuku.co.jp&gt;</t>
  </si>
  <si>
    <t xml:space="preserve"> 宮﨑 貴広(Takahiro MIYAZAKI) &lt;takahiro_miyazaki@ha.daifuku.co.jp&gt;</t>
  </si>
  <si>
    <t xml:space="preserve"> 横井 隆(Takashi YOKOI) &lt;takashi_yokoi@ha.daifuku.co.jp&gt;</t>
  </si>
  <si>
    <t xml:space="preserve"> 福田 康宏(Yasuhiro FUKUDA) &lt;yasuhiro_fukuda@ha.daifuku.co.jp&gt;</t>
  </si>
  <si>
    <t xml:space="preserve"> 袴塚 健司(Takeshi HAKAMATSUKA) &lt;takeshi_hakamatsuka@ha.daifuku.co.jp&gt;</t>
  </si>
  <si>
    <t xml:space="preserve"> 須田 幸造(Kozo SUDA) &lt;kozo_suda@ha.daifuku.co.jp&gt;</t>
  </si>
  <si>
    <t xml:space="preserve"> 永田 朝太郎(Asataro NAGATA) &lt;asataro_nagata@ha.daifuku.co.jp&gt;</t>
  </si>
  <si>
    <t xml:space="preserve"> 村西 純(Jun MURANISHI) &lt;jun_muranishi@ha.daifuku.co.jp&gt;</t>
  </si>
  <si>
    <t xml:space="preserve"> 宮本 結奈(Yuina YOSHIZAWA) &lt;yuina_yoshizawa@ha.daifuku.co.jp&gt;</t>
  </si>
  <si>
    <t xml:space="preserve"> 外池 智子(Tomoko TONOIKE) &lt;tomoko_tonoike@ha.daifuku.co.jp&gt;</t>
  </si>
  <si>
    <t xml:space="preserve"> 村井 健司(Kenji MURAI) &lt;kenji_murai@ha.daifuku.co.jp&gt;</t>
  </si>
  <si>
    <t xml:space="preserve"> 刀禰 拓哉(Takuya TONE) &lt;takuya_tone@ha.daifuku.co.jp&gt;</t>
  </si>
  <si>
    <t xml:space="preserve"> 久貝 大樹(Daiki KUGAI) &lt;daiki_kugai@ha.daifuku.co.jp&gt;</t>
  </si>
  <si>
    <t xml:space="preserve"> 桐原 朋由(Tomoyuki KIRIHARA) &lt;tomoyuki_kirihara@ha.daifuku.co.jp&gt;</t>
  </si>
  <si>
    <t xml:space="preserve"> 鼻崎 雅大(Masahiro HANASAKI) &lt;masahiro_hanasaki@ha.daifuku.co.jp&gt;</t>
  </si>
  <si>
    <t xml:space="preserve"> 田中 裕人(Yuto TANAKA) &lt;yuto_tanaka@ha.daifuku.co.jp&gt;</t>
  </si>
  <si>
    <t xml:space="preserve"> 小林 正幹(Masaki KOBAYASHI) &lt;masaki_kobayashi@ha.daifuku.co.jp&gt;</t>
  </si>
  <si>
    <t xml:space="preserve"> 中村 珠元(Shugen NAKAMURA) &lt;shugen_nakamura@ha.daifuku.co.jp&gt;</t>
  </si>
  <si>
    <t xml:space="preserve"> 山本 航(Koh YAMAMOTO) &lt;koh_yamamoto-m1@ha.daifuku.co.jp&gt;</t>
  </si>
  <si>
    <t xml:space="preserve"> 山口 万樹子(Makiko YAMAGUCHI) &lt;makiko_yamaguchi-m1@ha.daifuku.co.jp&gt;</t>
  </si>
  <si>
    <t xml:space="preserve"> 坂本 彰(Akira SAKAMOTO) &lt;akira_sakamoto@ha.daifuku.co.jp&gt;</t>
  </si>
  <si>
    <t xml:space="preserve"> 室屋 里江子(Rieko MUROYA) &lt;rieko_muroya@ha.daifuku.co.jp&gt;</t>
  </si>
  <si>
    <t xml:space="preserve"> 宮﨑 隆(Takashi MIYAZAKI) &lt;takashi_miyazaki@ha.daifuku.co.jp&gt;</t>
  </si>
  <si>
    <t xml:space="preserve"> 林 克弥(Katsuya HAYASHI) &lt;katsuya_hayashi@ha.daifuku.co.jp&gt;</t>
  </si>
  <si>
    <t xml:space="preserve"> 古館 亜美(Ami FURUTATE) &lt;ami_furutate@ha.daifuku.co.jp&gt;</t>
  </si>
  <si>
    <t xml:space="preserve"> 林 竜登志(Tatsutoshi HAYASHI) &lt;tatsutoshi_hayashi@ha.daifuku.co.jp&gt;</t>
  </si>
  <si>
    <t xml:space="preserve"> 江崎 昌弘(Esaki MASAHIRO) &lt;esaki_masahiro@ha.daifuku.co.jp&gt;</t>
  </si>
  <si>
    <t xml:space="preserve"> 山崎 雄(Takeshi YAMASAKI) &lt;takeshi_yamasaki@ha.daifuku.co.jp&gt;</t>
  </si>
  <si>
    <t xml:space="preserve"> 工藤 真也(Shinya KUDOU) &lt;shinya_kudou@ha.daifuku.co.jp&gt;</t>
  </si>
  <si>
    <t xml:space="preserve"> 市川 真(Makoto ICHIKAWA) &lt;makoto_ichikawa@ha.daifuku.co.jp&gt;</t>
  </si>
  <si>
    <t xml:space="preserve"> 本田 瑞綺(Mizuki HONDA) &lt;mizuki_honda@ha.daifuku.co.jp&gt;</t>
  </si>
  <si>
    <t xml:space="preserve"> 山内 南海(Nami YAMAUCHI) &lt;nami_yamauchi@ha.daifuku.co.jp&gt;</t>
  </si>
  <si>
    <t xml:space="preserve"> 遠藤 祐紀(Yuki ENDO) &lt;yuki_endo@ha.daifuku.co.jp&gt;</t>
  </si>
  <si>
    <t xml:space="preserve"> 金井 一義(Kazuyoshi KANAI) &lt;kazuyoshi_kanai@ha.daifuku.co.jp&gt;</t>
  </si>
  <si>
    <t xml:space="preserve"> 石橋 雅史(Masashi ISHIBASHI) &lt;masashi_ishibashi@ha.daifuku.co.jp&gt;</t>
  </si>
  <si>
    <t xml:space="preserve"> 武田 英樹(Hideki TAKEDA) &lt;hideki_takeda@ha.daifuku.co.jp&gt;</t>
  </si>
  <si>
    <t xml:space="preserve"> 二摩 悟史(Satoshi NIMA) &lt;satoshi_nima@ha.daifuku.co.jp&gt;</t>
  </si>
  <si>
    <t xml:space="preserve"> 深町 沙希(Saki FUKAMACHI) &lt;saki_fukamachi@ha.daifuku.co.jp&gt;</t>
  </si>
  <si>
    <t xml:space="preserve"> 原 百合(Yuri HARA) &lt;yuri_hara-m1@ha.daifuku.co.jp&gt;</t>
  </si>
  <si>
    <t xml:space="preserve"> 山口 耕平(Kouhei YAMAGUCHI) &lt;kouhei_yamaguchi@ha.daifuku.co.jp&gt;</t>
  </si>
  <si>
    <t xml:space="preserve"> 鈴木 雅也(Masaya SUZUKI) &lt;masaya_suzuki@ha.daifuku.co.jp&gt;</t>
  </si>
  <si>
    <t xml:space="preserve"> 吉川 潤一(Junichi YOSHIKAWA) &lt;junichi_yoshikawa@ha.daifuku.co.jp&gt;</t>
  </si>
  <si>
    <t xml:space="preserve"> 松本 竜一(Ryuichi MATSUMOTO) &lt;ryuichi_matsumoto@ha.daifuku.co.jp&gt;</t>
  </si>
  <si>
    <t xml:space="preserve"> 三枝 一雄(Kazuo SAEGUSA) &lt;kazuo_saegusa@ha.daifuku.co.jp&gt;</t>
  </si>
  <si>
    <t xml:space="preserve"> 川野 淳士(Atsushi KAWANO) &lt;atsushi_kawano@ha.daifuku.co.jp&gt;</t>
  </si>
  <si>
    <t xml:space="preserve"> 井本 隆(Takashi IMOTO) &lt;takashi_imoto@ha.daifuku.co.jp&gt;</t>
  </si>
  <si>
    <t xml:space="preserve"> 宇田 仁一(Yoshikazu UDA) &lt;yoshikazu_uda@ha.daifuku.co.jp&gt;</t>
  </si>
  <si>
    <t xml:space="preserve"> 小澤 一満(Kazuma OZAWA) &lt;kazuma_ozawa@ha.daifuku.co.jp&gt;</t>
  </si>
  <si>
    <t xml:space="preserve"> 松永 学(Gaku MATSUNAGA) &lt;gaku_matsunaga@ha.daifuku.co.jp&gt;</t>
  </si>
  <si>
    <t xml:space="preserve"> 杉下 朋輝(Tomoki SUGISHITA) &lt;tomoki_sugishita@ha.daifuku.co.jp&gt;</t>
  </si>
  <si>
    <t xml:space="preserve"> 近藤 大将(Daisuke KONDO) &lt;daisuke_kondo-m2@ha.daifuku.co.jp&gt;</t>
  </si>
  <si>
    <t xml:space="preserve"> 片桐 貴久(Takahisa KATAGIRI) &lt;takahisa_katagiri@ha.daifuku.co.jp&gt;</t>
  </si>
  <si>
    <t xml:space="preserve"> 土屋 浅夫(Asao TSUCHIYA) &lt;asao_tsuchiya@ha.daifuku.co.jp&gt;</t>
  </si>
  <si>
    <t xml:space="preserve"> 徳田 裕士(Hiroshi TOKUDA) &lt;hiroshi_tokuda@ha.daifuku.co.jp&gt;</t>
  </si>
  <si>
    <t xml:space="preserve"> 馬場 賢史(Satosi BABA) &lt;satosi_baba@ha.daifuku.co.jp&gt;</t>
  </si>
  <si>
    <t xml:space="preserve"> 藤原 一槻(Kazuki FUJIWARA) &lt;kazuki_fujiwara@ha.daifuku.co.jp&gt;</t>
  </si>
  <si>
    <t xml:space="preserve"> 森岡 奈央人(Naoto MORIOKA) &lt;naoto_morioka@ha.daifuku.co.jp&gt;</t>
  </si>
  <si>
    <t xml:space="preserve"> 池澤 義文(Yoshifumi IKEZAWA) &lt;yoshifumi_ikezawa@ha.daifuku.co.jp&gt;</t>
  </si>
  <si>
    <t xml:space="preserve"> 犬塚 仁(Hitoshi INUZUKA) &lt;hitoshi_inuzuka@ha.daifuku.co.jp&gt;</t>
  </si>
  <si>
    <t xml:space="preserve"> 仲田 紀輝(Toshiki NAKADA) &lt;toshiki_nakada@ha.daifuku.co.jp&gt;</t>
  </si>
  <si>
    <t xml:space="preserve"> 野村 誠(Makoto NOMURA) &lt;makoto_nomura@ha.daifuku.co.jp&gt;</t>
  </si>
  <si>
    <t xml:space="preserve"> 大島 裕司(Yuji OSHIMA) &lt;yuji_oshima@ha.daifuku.co.jp&gt;</t>
  </si>
  <si>
    <t xml:space="preserve"> 松尾 亜衣(Ai MATSUO) &lt;ai_matsuo@ha.daifuku.co.jp&gt;</t>
  </si>
  <si>
    <t xml:space="preserve"> 松永 拓也(Takuya MATSUNAGA) &lt;takuya_matsunaga@ha.daifuku.co.jp&gt;</t>
  </si>
  <si>
    <t xml:space="preserve"> 竹谷 銀一郎(Ginichiro TAKETANI) &lt;ginichiro_taketani@ha.daifuku.co.jp&gt;</t>
  </si>
  <si>
    <t xml:space="preserve"> 小野 竜也(Tatsuya ONO) &lt;tatsuya_ono@ha.daifuku.co.jp&gt;</t>
  </si>
  <si>
    <t xml:space="preserve"> 浅井 健太(Kenta ASAI) &lt;kenta_asai-m1@ha.daifuku.co.jp&gt;</t>
  </si>
  <si>
    <t xml:space="preserve"> 若林 正樹(Masaki WAKABAYASHI) &lt;masaki_wakabayashi@ha.daifuku.co.jp&gt;</t>
  </si>
  <si>
    <t xml:space="preserve"> 浅原 昴範(Takanori ASAHARA) &lt;takanori_asahara@ha.daifuku.co.jp&gt;</t>
  </si>
  <si>
    <t xml:space="preserve"> 林 諒子(Ryoko HAYASHI) &lt;ryoko_miyata@ha.daifuku.co.jp&gt;</t>
  </si>
  <si>
    <t xml:space="preserve"> 三川 友輝朗(Yukio MIKAWA) &lt;yukio_mikawa@ha.daifuku.co.jp&gt;</t>
  </si>
  <si>
    <t xml:space="preserve"> 中村 勇貴(Yuki NAKAMURA) &lt;yuki_nakamura-m1@ha.daifuku.co.jp&gt;</t>
  </si>
  <si>
    <t xml:space="preserve"> 中井 勇亮(Yusuke NAKAI) &lt;yusuke_nakai-m1@ha.daifuku.co.jp&gt;</t>
  </si>
  <si>
    <t xml:space="preserve"> 豊嶋 菜摘(Natsumi TOYOSHIMA) &lt;natsumi_toyoshima@ha.daifuku.co.jp&gt;</t>
  </si>
  <si>
    <t xml:space="preserve"> 青山 洋一(Yoichi AOYAMA) &lt;yoichi_aoyama@ha.daifuku.co.jp&gt;</t>
  </si>
  <si>
    <t xml:space="preserve"> 辻 直美(Naomi TSUJI) &lt;naomi_tsuji@ha.daifuku.co.jp&gt;</t>
  </si>
  <si>
    <t xml:space="preserve"> 小林 麻衣(Mai KOBAYASHI) &lt;mai_kobayashi@ha.daifuku.co.jp&gt;</t>
  </si>
  <si>
    <t xml:space="preserve"> 山口 晃央(Akihito YAMAGUCHI) &lt;akihito_yamaguchi@ha.daifuku.co.jp&gt;</t>
  </si>
  <si>
    <t xml:space="preserve"> 野堀 花恵(Hanae NOBORI) &lt;hanae_nobori@ha.daifuku.co.jp&gt;</t>
  </si>
  <si>
    <t xml:space="preserve"> 柴崎 直紀(Naoki SHIBASAKI) &lt;naoki_shibasaki@ha.daifuku.co.jp&gt;</t>
  </si>
  <si>
    <t xml:space="preserve"> 野村 七海(Nanami NOMURA) &lt;nanami_nomura@ha.daifuku.co.jp&gt;</t>
  </si>
  <si>
    <t xml:space="preserve"> 小林 彩子(Ayako KOBAYASHI) &lt;ayako_kobayashi@ha.daifuku.co.jp&gt;</t>
  </si>
  <si>
    <t xml:space="preserve"> 浜田 章弘(Akihiro HAMADA) &lt;akihiro_hamada@ha.daifuku.co.jp&gt;</t>
  </si>
  <si>
    <t xml:space="preserve"> 海保 幸恵(Yukie KAIHO) &lt;yukie_kaiho-m1@ha.daifuku.co.jp&gt;</t>
  </si>
  <si>
    <t xml:space="preserve"> 園部 隆治(Takaharu SONOBE) &lt;takaharu_sonobe@ha.daifuku.co.jp&gt;</t>
  </si>
  <si>
    <t xml:space="preserve"> 荒武 由美(Yumi ARATAKE) &lt;yumi_aratake@ha.daifuku.co.jp&gt;</t>
  </si>
  <si>
    <t xml:space="preserve"> 西澤 裕美(Yumi NISHIZAWA) &lt;yumi_nakano@ha.daifuku.co.jp&gt;</t>
  </si>
  <si>
    <t xml:space="preserve"> 西岡 加織(Kaori NISHIOKA) &lt;kaori_nishioka-m1@ha.daifuku.co.jp&gt;</t>
  </si>
  <si>
    <t>原 久美子(Kumiko HARA) &lt;kumiko_hara.da2@ha.daifuku.co.jp&gt;</t>
  </si>
  <si>
    <t xml:space="preserve"> 貫 有紀(Yuki NUKI) &lt;yuki_nuki-m1@ha.daifuku.co.jp&gt;</t>
    <phoneticPr fontId="4"/>
  </si>
  <si>
    <t>中部第1</t>
  </si>
  <si>
    <t>市川1：高田さん追加</t>
    <rPh sb="0" eb="2">
      <t>イチカワ</t>
    </rPh>
    <rPh sb="4" eb="6">
      <t>タカダ</t>
    </rPh>
    <rPh sb="8" eb="10">
      <t>ツイカ</t>
    </rPh>
    <phoneticPr fontId="4"/>
  </si>
  <si>
    <t>M08248</t>
    <phoneticPr fontId="4"/>
  </si>
  <si>
    <t>市川第1</t>
    <rPh sb="0" eb="2">
      <t>イチカワ</t>
    </rPh>
    <rPh sb="2" eb="3">
      <t>ダイ</t>
    </rPh>
    <phoneticPr fontId="4"/>
  </si>
  <si>
    <t>yuko_takada.da2@ha.daifuku.co.jp</t>
  </si>
  <si>
    <t>noriko_shigeno-m1@ha.daifuku.co.jp</t>
    <phoneticPr fontId="4"/>
  </si>
  <si>
    <r>
      <t xml:space="preserve">山畑 </t>
    </r>
    <r>
      <rPr>
        <sz val="12"/>
        <color rgb="FF000000"/>
        <rFont val="Aptos"/>
        <family val="2"/>
      </rPr>
      <t xml:space="preserve"> </t>
    </r>
    <r>
      <rPr>
        <sz val="12"/>
        <color rgb="FF000000"/>
        <rFont val="ＭＳ Ｐゴシック"/>
        <family val="3"/>
        <charset val="128"/>
      </rPr>
      <t>直人</t>
    </r>
    <phoneticPr fontId="4"/>
  </si>
  <si>
    <t>大阪第1</t>
    <rPh sb="0" eb="2">
      <t>オオサカ</t>
    </rPh>
    <rPh sb="2" eb="3">
      <t>ダイ</t>
    </rPh>
    <phoneticPr fontId="4"/>
  </si>
  <si>
    <t>naoto_yamahata@ha.daifuku.co.jp</t>
  </si>
  <si>
    <t>山畑  直人</t>
  </si>
  <si>
    <t>大阪1：山畑さん追加</t>
    <rPh sb="0" eb="2">
      <t>オオサカ</t>
    </rPh>
    <rPh sb="4" eb="6">
      <t>ヤマハタ</t>
    </rPh>
    <rPh sb="8" eb="10">
      <t>ツイカ</t>
    </rPh>
    <phoneticPr fontId="4"/>
  </si>
  <si>
    <t>海老名第1ＣＳ</t>
    <rPh sb="0" eb="3">
      <t>エビナ</t>
    </rPh>
    <phoneticPr fontId="4"/>
  </si>
  <si>
    <t>海老名第2ＣＳ</t>
    <rPh sb="0" eb="3">
      <t>エビナ</t>
    </rPh>
    <phoneticPr fontId="4"/>
  </si>
  <si>
    <t>千葉第1</t>
  </si>
  <si>
    <t>プリンタ終息</t>
  </si>
  <si>
    <t>岐阜</t>
  </si>
  <si>
    <t>2802310</t>
  </si>
  <si>
    <t>神戸第2</t>
  </si>
  <si>
    <t>28111A158-001</t>
  </si>
  <si>
    <t>三重第1</t>
  </si>
  <si>
    <t>【一部解約】ベスト・ロジスティクス・パートナーズ 神戸西見津が丘SDC</t>
  </si>
  <si>
    <t>20260402</t>
    <phoneticPr fontId="4"/>
  </si>
  <si>
    <t>横浜２:黒羽さん⇒沼上さんに変更</t>
    <rPh sb="0" eb="2">
      <t>ヨコハマ</t>
    </rPh>
    <rPh sb="4" eb="6">
      <t>クロハ</t>
    </rPh>
    <rPh sb="9" eb="11">
      <t>ヌマカミ</t>
    </rPh>
    <rPh sb="14" eb="16">
      <t>ヘンコウ</t>
    </rPh>
    <phoneticPr fontId="4"/>
  </si>
  <si>
    <t>宮川 和美</t>
    <rPh sb="0" eb="2">
      <t>ミヤカワ</t>
    </rPh>
    <rPh sb="3" eb="5">
      <t>カズミ</t>
    </rPh>
    <phoneticPr fontId="4"/>
  </si>
  <si>
    <t>宮川 和美</t>
    <phoneticPr fontId="4"/>
  </si>
  <si>
    <t>kazumi_miyagawa.da2@ha.daifuku.co.jp</t>
    <phoneticPr fontId="4"/>
  </si>
  <si>
    <t>ｍ15735</t>
    <phoneticPr fontId="4"/>
  </si>
  <si>
    <t>北大阪第2</t>
    <rPh sb="0" eb="3">
      <t>キタオオサカ</t>
    </rPh>
    <rPh sb="3" eb="4">
      <t>ダイ</t>
    </rPh>
    <phoneticPr fontId="4"/>
  </si>
  <si>
    <t>北大阪2：宮川さん追加</t>
    <rPh sb="0" eb="3">
      <t>キタオオサカ</t>
    </rPh>
    <rPh sb="5" eb="7">
      <t>ミヤガワ</t>
    </rPh>
    <rPh sb="9" eb="11">
      <t>ツイカ</t>
    </rPh>
    <phoneticPr fontId="4"/>
  </si>
  <si>
    <t>84名</t>
    <rPh sb="2" eb="3">
      <t>メイ</t>
    </rPh>
    <phoneticPr fontId="4"/>
  </si>
  <si>
    <t>97名</t>
    <rPh sb="2" eb="3">
      <t>メイ</t>
    </rPh>
    <phoneticPr fontId="4"/>
  </si>
  <si>
    <t>重複16名</t>
    <rPh sb="0" eb="2">
      <t>チョウフク</t>
    </rPh>
    <rPh sb="4" eb="5">
      <t>メイ</t>
    </rPh>
    <phoneticPr fontId="4"/>
  </si>
  <si>
    <t>メール宛先合計：181名+保守G2名</t>
    <rPh sb="3" eb="5">
      <t>アテサキ</t>
    </rPh>
    <rPh sb="5" eb="7">
      <t>ゴウケイ</t>
    </rPh>
    <rPh sb="11" eb="12">
      <t>メイ</t>
    </rPh>
    <rPh sb="13" eb="15">
      <t>ホシュ</t>
    </rPh>
    <rPh sb="17" eb="18">
      <t>メイ</t>
    </rPh>
    <phoneticPr fontId="4"/>
  </si>
  <si>
    <t>重複省いた人数</t>
    <rPh sb="0" eb="2">
      <t>チョウフク</t>
    </rPh>
    <rPh sb="2" eb="3">
      <t>ハブ</t>
    </rPh>
    <rPh sb="5" eb="7">
      <t>ニンズウ</t>
    </rPh>
    <phoneticPr fontId="4"/>
  </si>
  <si>
    <t>野田</t>
  </si>
  <si>
    <t>南九州</t>
  </si>
  <si>
    <t>三重第2</t>
  </si>
  <si>
    <t>2301075</t>
  </si>
  <si>
    <t>23220-149-001</t>
  </si>
  <si>
    <t>東京第1</t>
  </si>
  <si>
    <t>鴻巣第2</t>
  </si>
  <si>
    <t>2801283</t>
  </si>
  <si>
    <t>神戸第1</t>
  </si>
  <si>
    <t>28204-245-001</t>
  </si>
  <si>
    <t>製品保管搬送設備</t>
  </si>
  <si>
    <t>2303567</t>
  </si>
  <si>
    <t>中部第2</t>
  </si>
  <si>
    <t>23220A135-001</t>
  </si>
  <si>
    <t>2800305</t>
  </si>
  <si>
    <t>28101-144-001</t>
  </si>
  <si>
    <t>①【全解約】&amp;【一部解約】のデータ貼付け　②株式会社を削除、店舗名半角へ変換（数字）　③サポートＩＤで並べ替え　④ＤＢリンク貼付け　⑤【解約完了メール作成】ボタン押下</t>
    <rPh sb="1" eb="6">
      <t>ゼ</t>
    </rPh>
    <rPh sb="7" eb="13">
      <t>イ</t>
    </rPh>
    <rPh sb="17" eb="18">
      <t>ハ</t>
    </rPh>
    <rPh sb="18" eb="19">
      <t>ツ</t>
    </rPh>
    <rPh sb="22" eb="26">
      <t>カブシキカイシャ</t>
    </rPh>
    <rPh sb="27" eb="29">
      <t>サクジョ</t>
    </rPh>
    <rPh sb="30" eb="33">
      <t>テンポメイ</t>
    </rPh>
    <rPh sb="33" eb="35">
      <t>ハンカク</t>
    </rPh>
    <rPh sb="36" eb="38">
      <t>ヘンカン</t>
    </rPh>
    <rPh sb="39" eb="41">
      <t>スウジ</t>
    </rPh>
    <rPh sb="51" eb="52">
      <t>ナラ</t>
    </rPh>
    <rPh sb="53" eb="54">
      <t>カ</t>
    </rPh>
    <rPh sb="62" eb="64">
      <t>ハリツ</t>
    </rPh>
    <rPh sb="68" eb="70">
      <t>カイヤク</t>
    </rPh>
    <rPh sb="70" eb="72">
      <t>カンリョウ</t>
    </rPh>
    <rPh sb="75" eb="77">
      <t>サクセイ</t>
    </rPh>
    <rPh sb="81" eb="83">
      <t>オウカ</t>
    </rPh>
    <phoneticPr fontId="0"/>
  </si>
  <si>
    <t>【一部解約】昭和冷蔵 稲沢第１センター</t>
  </si>
  <si>
    <t>【一部解約】ベスト・ロジスティクス・パートナーズ コープこうべ新要冷集配センター</t>
  </si>
  <si>
    <t>【一部解約】ミスミ 中日本流通センター</t>
  </si>
  <si>
    <t>【一部解約】三菱倉庫 神戸支店　六甲営業所　Ｅ号倉庫</t>
  </si>
  <si>
    <t>3500318</t>
  </si>
  <si>
    <t>山口</t>
  </si>
  <si>
    <t>35202-138-002</t>
  </si>
  <si>
    <t xml:space="preserve">【一部解約】山口大学医学部附属病院 </t>
  </si>
  <si>
    <t>㈱サトー</t>
  </si>
  <si>
    <t>2113204</t>
  </si>
  <si>
    <t>CL4NX-J08終息</t>
    <rPh sb="9" eb="11">
      <t>シュウソク</t>
    </rPh>
    <phoneticPr fontId="3"/>
  </si>
  <si>
    <t>2101064</t>
  </si>
  <si>
    <t>21502A102-001</t>
  </si>
  <si>
    <t>【一部解約】生活協同組合連合会アイチョイス 富加セットセンター</t>
  </si>
  <si>
    <t>2120876（見積6080964-047）</t>
  </si>
  <si>
    <t>2303480</t>
  </si>
  <si>
    <t>中部第3</t>
  </si>
  <si>
    <t>23219-223-002</t>
  </si>
  <si>
    <t>2095651（見積6080964-032）</t>
  </si>
  <si>
    <t>2127997</t>
  </si>
  <si>
    <t>3800014</t>
  </si>
  <si>
    <t>松山</t>
  </si>
  <si>
    <t>38205-002-001</t>
  </si>
  <si>
    <t>2126627</t>
  </si>
  <si>
    <t>2300869</t>
  </si>
  <si>
    <t>23220-204-001</t>
  </si>
  <si>
    <t>2178407</t>
  </si>
  <si>
    <t>2702410</t>
  </si>
  <si>
    <t>北大阪第1</t>
  </si>
  <si>
    <t>27223A116-001</t>
  </si>
  <si>
    <t>2076455</t>
  </si>
  <si>
    <t>CL4NX-J08終息</t>
    <rPh sb="9" eb="11">
      <t>シュウソク</t>
    </rPh>
    <phoneticPr fontId="0"/>
  </si>
  <si>
    <t>1102203</t>
  </si>
  <si>
    <t>流山第1</t>
  </si>
  <si>
    <t>11464A105-001</t>
  </si>
  <si>
    <t>【一部解約】パルシステム生活協同組合連合会 杉戸センター</t>
  </si>
  <si>
    <t>2082396</t>
  </si>
  <si>
    <t>2300035</t>
  </si>
  <si>
    <t>23215-022-001</t>
  </si>
  <si>
    <t>2106856</t>
  </si>
  <si>
    <t>2121205</t>
  </si>
  <si>
    <t>2303094</t>
  </si>
  <si>
    <t>23219A004-001</t>
  </si>
  <si>
    <t>2100231</t>
  </si>
  <si>
    <t>1100841</t>
  </si>
  <si>
    <t>川越</t>
  </si>
  <si>
    <t>11208-128-001</t>
  </si>
  <si>
    <t>2094039</t>
  </si>
  <si>
    <t>0800213</t>
  </si>
  <si>
    <t>栃木第2</t>
  </si>
  <si>
    <t>08544-006-001</t>
  </si>
  <si>
    <t>2077012</t>
  </si>
  <si>
    <t>CL4NX-J12終息</t>
    <rPh sb="9" eb="11">
      <t>シュウソク</t>
    </rPh>
    <phoneticPr fontId="3"/>
  </si>
  <si>
    <t>1102308</t>
  </si>
  <si>
    <t>11464A111-001</t>
  </si>
  <si>
    <t>2107121</t>
  </si>
  <si>
    <t>2702644</t>
  </si>
  <si>
    <t>大阪第2</t>
  </si>
  <si>
    <t>27104A109-002</t>
  </si>
  <si>
    <t>2119123</t>
  </si>
  <si>
    <t>4100207</t>
  </si>
  <si>
    <t>鳥栖第1</t>
  </si>
  <si>
    <t>41203-182-001</t>
  </si>
  <si>
    <t>2130314</t>
  </si>
  <si>
    <t>3100122</t>
  </si>
  <si>
    <t>山陰</t>
  </si>
  <si>
    <t>31201A115-001</t>
  </si>
  <si>
    <t>2080405-2</t>
  </si>
  <si>
    <t>1100689</t>
  </si>
  <si>
    <t>11215-195-001</t>
  </si>
  <si>
    <t>2085664</t>
  </si>
  <si>
    <t>2802073</t>
  </si>
  <si>
    <t>28111A146-001</t>
  </si>
  <si>
    <t>2100439</t>
  </si>
  <si>
    <t>3400589</t>
  </si>
  <si>
    <t>尾道</t>
  </si>
  <si>
    <t>34207-B02-002</t>
  </si>
  <si>
    <t>2074336</t>
  </si>
  <si>
    <t>3400579</t>
  </si>
  <si>
    <t>34207-B02-001</t>
  </si>
  <si>
    <t>2074332</t>
  </si>
  <si>
    <t>1201180</t>
  </si>
  <si>
    <t>12208A000-001</t>
  </si>
  <si>
    <t>2109619</t>
  </si>
  <si>
    <t>CL4NX-J08終息(19台)</t>
    <rPh sb="9" eb="11">
      <t>シュウソク</t>
    </rPh>
    <rPh sb="14" eb="15">
      <t>ダイ</t>
    </rPh>
    <phoneticPr fontId="3"/>
  </si>
  <si>
    <t>1200541</t>
  </si>
  <si>
    <t>市川第1</t>
  </si>
  <si>
    <t>12204-450-001</t>
  </si>
  <si>
    <t>2097042</t>
  </si>
  <si>
    <t>1201397</t>
  </si>
  <si>
    <t>2097046</t>
  </si>
  <si>
    <t>3400466</t>
  </si>
  <si>
    <t>2118980</t>
  </si>
  <si>
    <t>1201362</t>
  </si>
  <si>
    <t>12208A125-001</t>
  </si>
  <si>
    <t>【一部解約】コープデリ生活協同組合連合会 野田船形物流センター</t>
  </si>
  <si>
    <t>2088396</t>
  </si>
  <si>
    <t>CL4NX-J08終息(6台)</t>
    <rPh sb="9" eb="11">
      <t>シュウソク</t>
    </rPh>
    <rPh sb="13" eb="14">
      <t>ダイ</t>
    </rPh>
    <phoneticPr fontId="3"/>
  </si>
  <si>
    <t>1301831</t>
  </si>
  <si>
    <t>13111A195-001</t>
  </si>
  <si>
    <t>2115173</t>
  </si>
  <si>
    <t>CL4NX-J08終息</t>
    <rPh sb="9" eb="11">
      <t>シュウソク</t>
    </rPh>
    <phoneticPr fontId="2"/>
  </si>
  <si>
    <t>2202137</t>
  </si>
  <si>
    <t>袋井</t>
  </si>
  <si>
    <t>2213A111-003</t>
  </si>
  <si>
    <t>1605-001</t>
  </si>
  <si>
    <t>HF-W6545終息</t>
  </si>
  <si>
    <t>1201032</t>
  </si>
  <si>
    <t>12219-176-001</t>
  </si>
  <si>
    <t>210517-1-221</t>
  </si>
  <si>
    <t>ハンディー終息</t>
  </si>
  <si>
    <t>1102476</t>
  </si>
  <si>
    <t>11225A127-001</t>
  </si>
  <si>
    <t>S21-01120</t>
  </si>
  <si>
    <t>2802003</t>
  </si>
  <si>
    <t>28101A124-001</t>
  </si>
  <si>
    <t>2201-009</t>
  </si>
  <si>
    <t>サーバ周辺機器等終息</t>
    <rPh sb="3" eb="7">
      <t>シュウヘンキキ</t>
    </rPh>
    <rPh sb="7" eb="8">
      <t>トウ</t>
    </rPh>
    <phoneticPr fontId="2"/>
  </si>
  <si>
    <t>2303651</t>
  </si>
  <si>
    <t>南名古屋第2</t>
  </si>
  <si>
    <t>23216A115-001</t>
  </si>
  <si>
    <t>\476,040</t>
  </si>
  <si>
    <t>2203-002</t>
  </si>
  <si>
    <t>HF-W2045終息(1台のみ)※MCM申請なし</t>
    <rPh sb="8" eb="10">
      <t>シュウソク</t>
    </rPh>
    <rPh sb="12" eb="13">
      <t>ダイ</t>
    </rPh>
    <rPh sb="20" eb="22">
      <t>シンセイ</t>
    </rPh>
    <phoneticPr fontId="2"/>
  </si>
  <si>
    <t>3300409</t>
  </si>
  <si>
    <t>津山</t>
  </si>
  <si>
    <t>33622-007-002</t>
  </si>
  <si>
    <t>S21-01009</t>
  </si>
  <si>
    <t>1102113</t>
  </si>
  <si>
    <t>11208-122-004</t>
  </si>
  <si>
    <t>2166265</t>
  </si>
  <si>
    <t>2303217</t>
  </si>
  <si>
    <t>23208A107-001</t>
  </si>
  <si>
    <t>【一部解約】生活協同組合連合会東海コープ事業連合 農産セットセンター</t>
  </si>
  <si>
    <t>2143515</t>
  </si>
  <si>
    <t>1402368</t>
  </si>
  <si>
    <t>海老名第2</t>
    <rPh sb="0" eb="3">
      <t>エビナ</t>
    </rPh>
    <phoneticPr fontId="4"/>
  </si>
  <si>
    <t>14401109-001</t>
  </si>
  <si>
    <t>2137947</t>
  </si>
  <si>
    <t>2600341</t>
  </si>
  <si>
    <t>北大阪第2</t>
  </si>
  <si>
    <t>26211-019-001</t>
  </si>
  <si>
    <t>2085791</t>
  </si>
  <si>
    <t>2200035</t>
  </si>
  <si>
    <t>22216-136-001</t>
  </si>
  <si>
    <t>2072851</t>
  </si>
  <si>
    <t>2400326</t>
  </si>
  <si>
    <t>24405-003-002</t>
  </si>
  <si>
    <t>\49,976</t>
  </si>
  <si>
    <t>2088857</t>
  </si>
  <si>
    <t>2100661</t>
  </si>
  <si>
    <t>21382-004-002</t>
  </si>
  <si>
    <t>2091941</t>
  </si>
  <si>
    <t>CL4NX-J12終息</t>
    <rPh sb="9" eb="11">
      <t>シュウソク</t>
    </rPh>
    <phoneticPr fontId="2"/>
  </si>
  <si>
    <t>1300503</t>
  </si>
  <si>
    <t>東京第2</t>
  </si>
  <si>
    <t>13111-B68-001</t>
  </si>
  <si>
    <t>2082393</t>
  </si>
  <si>
    <t>CL6NX-J12&amp;CL4NX-J12終息</t>
    <rPh sb="19" eb="21">
      <t>シュウソク</t>
    </rPh>
    <phoneticPr fontId="2"/>
  </si>
  <si>
    <t>0600176</t>
  </si>
  <si>
    <t>仙台</t>
  </si>
  <si>
    <t>06201A120-001</t>
  </si>
  <si>
    <t>2085779</t>
  </si>
  <si>
    <t>0500044</t>
  </si>
  <si>
    <t>盛岡</t>
  </si>
  <si>
    <t>05208-013-001</t>
  </si>
  <si>
    <t>2178412</t>
  </si>
  <si>
    <t>0500026</t>
  </si>
  <si>
    <t>05421-003-001</t>
  </si>
  <si>
    <t>2178409</t>
  </si>
  <si>
    <t>0100826</t>
  </si>
  <si>
    <t>札幌</t>
  </si>
  <si>
    <t>01203A118-001</t>
  </si>
  <si>
    <t>2129761</t>
  </si>
  <si>
    <t>0100058</t>
  </si>
  <si>
    <t>01216-005-001</t>
  </si>
  <si>
    <t>2178405</t>
  </si>
  <si>
    <t>1102152</t>
  </si>
  <si>
    <t>草加第1</t>
  </si>
  <si>
    <t>11224A118-001</t>
  </si>
  <si>
    <t>2117181</t>
  </si>
  <si>
    <t>4000088</t>
  </si>
  <si>
    <t>40209-206-001</t>
  </si>
  <si>
    <t>2070460</t>
  </si>
  <si>
    <t>4100182</t>
  </si>
  <si>
    <t>41324-021-001</t>
  </si>
  <si>
    <t>2091939</t>
  </si>
  <si>
    <t>1301669</t>
  </si>
  <si>
    <t>多摩</t>
  </si>
  <si>
    <t>13201A147-001</t>
  </si>
  <si>
    <t>2178414</t>
  </si>
  <si>
    <t>0900118</t>
  </si>
  <si>
    <t>09302-011</t>
  </si>
  <si>
    <t>2026011905-225-1</t>
  </si>
  <si>
    <t>撤去</t>
    <rPh sb="0" eb="2">
      <t>テッキョ</t>
    </rPh>
    <phoneticPr fontId="2"/>
  </si>
  <si>
    <t>3400822</t>
  </si>
  <si>
    <t>広島</t>
  </si>
  <si>
    <t>34105A120-001</t>
  </si>
  <si>
    <t>2101369</t>
  </si>
  <si>
    <t>4600201</t>
  </si>
  <si>
    <t>46201A163-001</t>
  </si>
  <si>
    <t>2158591</t>
  </si>
  <si>
    <t>0600192</t>
  </si>
  <si>
    <t>06201A124-001</t>
  </si>
  <si>
    <t>【一部解約】生活協同組合共立社 共同購入物流センター</t>
  </si>
  <si>
    <t>2107886</t>
  </si>
  <si>
    <t>2144960</t>
  </si>
  <si>
    <t>4000828</t>
  </si>
  <si>
    <t>北九州</t>
  </si>
  <si>
    <t>40226A104-002</t>
  </si>
  <si>
    <t>【一部解約】グリーンコープ生活協同組合連合会 若宮物流センター　（ドライライン）</t>
  </si>
  <si>
    <t>2107888</t>
  </si>
  <si>
    <t>4000749</t>
  </si>
  <si>
    <t>40226A104-001</t>
  </si>
  <si>
    <t>【一部解約】グリーンコープ生活協同組合連合会 若宮物流センター　（要冷ライン）</t>
  </si>
  <si>
    <t>2107893</t>
  </si>
  <si>
    <t>2000294</t>
  </si>
  <si>
    <t>松本</t>
  </si>
  <si>
    <t>20203-269-001</t>
  </si>
  <si>
    <t>【一部解約】信州うえだ農業協同組合 農産物流通センター</t>
  </si>
  <si>
    <t>2084398</t>
  </si>
  <si>
    <t>4000527</t>
  </si>
  <si>
    <t>40203-292-001</t>
  </si>
  <si>
    <t>2081104</t>
  </si>
  <si>
    <t>1101227</t>
  </si>
  <si>
    <t>11213-285-001</t>
  </si>
  <si>
    <t>2107907</t>
  </si>
  <si>
    <t>1401841</t>
  </si>
  <si>
    <t>相模原</t>
  </si>
  <si>
    <t>14401-156-001</t>
  </si>
  <si>
    <t>2094582</t>
  </si>
  <si>
    <t>2132341</t>
  </si>
  <si>
    <t>2070273</t>
  </si>
  <si>
    <t>1402836</t>
  </si>
  <si>
    <t>海老名第2</t>
  </si>
  <si>
    <t>14215A106-001</t>
  </si>
  <si>
    <t>2022041212-221-1</t>
  </si>
  <si>
    <t>PC-MJL36終息</t>
    <rPh sb="8" eb="10">
      <t>シュウソク</t>
    </rPh>
    <phoneticPr fontId="2"/>
  </si>
  <si>
    <t>1402375</t>
  </si>
  <si>
    <t>14163A114-001</t>
  </si>
  <si>
    <t>2078536</t>
  </si>
  <si>
    <t>1402345</t>
  </si>
  <si>
    <t>海老名第1</t>
  </si>
  <si>
    <t>14216A107-001</t>
  </si>
  <si>
    <t>2064371</t>
  </si>
  <si>
    <t>2201035</t>
  </si>
  <si>
    <t>豊橋</t>
  </si>
  <si>
    <t>22523-016-001</t>
  </si>
  <si>
    <t xml:space="preserve">【一部解約】三ヶ日町農業協同組合 </t>
  </si>
  <si>
    <t>2022100616-221-1</t>
  </si>
  <si>
    <t>サーバ周辺機器終息</t>
    <rPh sb="3" eb="7">
      <t>シュウヘンキキ</t>
    </rPh>
    <rPh sb="7" eb="9">
      <t>シュウソク</t>
    </rPh>
    <phoneticPr fontId="2"/>
  </si>
  <si>
    <t>0100810</t>
  </si>
  <si>
    <t>01103A144-001</t>
  </si>
  <si>
    <t>冷凍自動倉庫システム</t>
  </si>
  <si>
    <t>2107573</t>
  </si>
  <si>
    <t>1101272</t>
  </si>
  <si>
    <t>11210-033-002</t>
  </si>
  <si>
    <t>2097804</t>
  </si>
  <si>
    <t>4000918</t>
  </si>
  <si>
    <t>40226A104-003</t>
  </si>
  <si>
    <t>【一部解約】グリーンコープ生活協同組合連合会 若宮物流センター　(青果ライン）</t>
  </si>
  <si>
    <t>2132138</t>
  </si>
  <si>
    <t>1201548</t>
  </si>
  <si>
    <t>2204A153-001</t>
  </si>
  <si>
    <t>\2,276,772</t>
  </si>
  <si>
    <t>2022100604-221-1</t>
  </si>
  <si>
    <t>0100596</t>
  </si>
  <si>
    <t>帯広</t>
  </si>
  <si>
    <t>01632-008-001</t>
  </si>
  <si>
    <t>S22-00581</t>
  </si>
  <si>
    <t>1402428</t>
  </si>
  <si>
    <t>横浜第3</t>
  </si>
  <si>
    <t>14131-488</t>
  </si>
  <si>
    <t>2023011909-221-1</t>
  </si>
  <si>
    <t>WereNavi終息</t>
    <rPh sb="8" eb="10">
      <t>シュウソク</t>
    </rPh>
    <phoneticPr fontId="2"/>
  </si>
  <si>
    <t>0400361</t>
  </si>
  <si>
    <t>04423A001</t>
  </si>
  <si>
    <t>【一部解約】みやぎ生活協同組合 共同購入物流センター</t>
  </si>
  <si>
    <t>2022101902-221-1</t>
  </si>
  <si>
    <t>FC-E22U=6台解約</t>
    <rPh sb="9" eb="10">
      <t>ダイ</t>
    </rPh>
    <rPh sb="10" eb="12">
      <t>カイヤク</t>
    </rPh>
    <phoneticPr fontId="2"/>
  </si>
  <si>
    <t>3400795</t>
  </si>
  <si>
    <t>34204A104-001</t>
  </si>
  <si>
    <t>2147446</t>
  </si>
  <si>
    <t>2201487</t>
  </si>
  <si>
    <t>22218-136-001</t>
  </si>
  <si>
    <t>CSシステム</t>
  </si>
  <si>
    <t>1906-003</t>
  </si>
  <si>
    <t>リプレース</t>
  </si>
  <si>
    <t>【一部解約】日本クロージャー 小牧工場</t>
  </si>
  <si>
    <t>【一部解約】住友化学 愛媛工場</t>
  </si>
  <si>
    <t>【一部解約】昭和冷蔵 稲沢第２センター</t>
  </si>
  <si>
    <t>【一部解約】センコー 門真営業所</t>
  </si>
  <si>
    <t>【一部解約】リスパック 犬山</t>
  </si>
  <si>
    <t>【一部解約】三井物産流通グループ 常温小牧センター</t>
  </si>
  <si>
    <t>【一部解約】協栄流通 城グロサリー集品センター</t>
  </si>
  <si>
    <t>【一部解約】エフピコ物流 関東配送センター</t>
  </si>
  <si>
    <t>【一部解約】埼北東洋 埼玉杉戸物流センター</t>
  </si>
  <si>
    <t>【一部解約】日水物流 大阪舞洲物流センター</t>
  </si>
  <si>
    <t>【一部解約】ロジスティード イオン九州ＲＤＣ</t>
  </si>
  <si>
    <t xml:space="preserve">【一部解約】マルサンアイ鳥取 </t>
  </si>
  <si>
    <t>【一部解約】吉田製薬 新狭山物流センター</t>
  </si>
  <si>
    <t>【一部解約】ケーエスケー 兵庫物流センター</t>
  </si>
  <si>
    <t>【一部解約】エフピコ物流 福山ハブセンター</t>
  </si>
  <si>
    <t>【一部解約】センコー イオン北関東ＲＤＣ</t>
  </si>
  <si>
    <t>【一部解約】福山通運 イオン関東ＲＤＣ</t>
  </si>
  <si>
    <t>【一部解約】ナガイレーベン 西日本物流センター</t>
  </si>
  <si>
    <t>【一部解約】東邦薬品 TBCダイナベース</t>
  </si>
  <si>
    <t>【一部解約】ロジスティード中部 静岡営業部　静岡西営業所</t>
  </si>
  <si>
    <t>【一部解約】出光興産 千葉事業所</t>
  </si>
  <si>
    <t>【一部解約】NTT印刷 入間工場</t>
  </si>
  <si>
    <t>【一部解約】三井物産サプライチェーン・ソリューションズ 関西Ｈｕｂ／ＤＣ</t>
  </si>
  <si>
    <t>【一部解約】ドリームスカイ名古屋 本社</t>
  </si>
  <si>
    <t>【一部解約】フジコピアン 岡山工場</t>
  </si>
  <si>
    <t>【一部解約】協栄流通 坂之下第２要冷集品センター</t>
  </si>
  <si>
    <t>【一部解約】センコー イオン西関東ＬＣ</t>
  </si>
  <si>
    <t>【一部解約】タカラ物流システム 西日本支社　西日本ロジスティクスセンター</t>
  </si>
  <si>
    <t>【一部解約】DKSHジャパン 流通配送センター</t>
  </si>
  <si>
    <t>【一部解約】ニプロファーマ 伊勢工場</t>
  </si>
  <si>
    <t>【一部解約】エフピコ物流 中部ハブセンター</t>
  </si>
  <si>
    <t>【一部解約】日水物流 東京物流センター</t>
  </si>
  <si>
    <t>【一部解約】東和薬品 東日本物流センター</t>
  </si>
  <si>
    <t>【一部解約】ナガイレーベン 第２物流センター</t>
  </si>
  <si>
    <t>【一部解約】ナガイレーベン 秋田物流センター</t>
  </si>
  <si>
    <t>【一部解約】東洋水産 石狩新港物流センター</t>
  </si>
  <si>
    <t>【一部解約】サッポロプレシジョン ロジスティクスセンター</t>
  </si>
  <si>
    <t>【一部解約】戸田フーズ 戸田工場</t>
  </si>
  <si>
    <t>【一部解約】日水物流 甘木物流センター</t>
  </si>
  <si>
    <t>【一部解約】エフピコ物流 九州配送センター</t>
  </si>
  <si>
    <t>【一部解約】パルライン 八王子センター</t>
  </si>
  <si>
    <t>エスエス製薬 東日本物流センター</t>
  </si>
  <si>
    <t>【一部解約】東邦薬品 ＴＢＣ広島</t>
  </si>
  <si>
    <t>【一部解約】ヤマエ久野 鹿児島支店　鹿児島常温物流センター</t>
  </si>
  <si>
    <t>【一部解約】福徳長酒類 久留米工場</t>
  </si>
  <si>
    <t>【一部解約】ロジスティクス・ネットワーク 杉戸物流センター</t>
  </si>
  <si>
    <t>【一部解約】ＪＡ全農青果センター 愛川セットセンター</t>
  </si>
  <si>
    <t>【一部解約】オイシックス・ラ・大地 ORD　海老名ステーション</t>
  </si>
  <si>
    <t>【一部解約】プライムデリカ 相模原第二工場　施設課</t>
  </si>
  <si>
    <t>【一部解約】ベスト・ロジスティクス・パートナーズ 座間SDC</t>
  </si>
  <si>
    <t>共通エクスプレス 北海道センター</t>
  </si>
  <si>
    <t>【一部解約】ブリヂストンフローテック 埼玉工場</t>
  </si>
  <si>
    <t>【一部解約】ビックカメラ 船橋センター</t>
  </si>
  <si>
    <t>【一部解約】ホクレンくみあい飼料 十勝工場</t>
  </si>
  <si>
    <t>【一部解約】ナカムラロジスティクス 浮島物流センター</t>
  </si>
  <si>
    <t>【一部解約】高砂香料西日本工場 三原工場</t>
  </si>
  <si>
    <t>オモビオ 浜北工場</t>
  </si>
  <si>
    <t>2300735</t>
  </si>
  <si>
    <t>23207-015-001</t>
  </si>
  <si>
    <t>ＴＤＭ株式会社</t>
  </si>
  <si>
    <t>BOXCELL解約（コンテック解約は、小森さんにて対応_4月支払済）</t>
    <rPh sb="7" eb="9">
      <t>カイヤク</t>
    </rPh>
    <rPh sb="15" eb="17">
      <t>カイヤク</t>
    </rPh>
    <rPh sb="19" eb="21">
      <t>コモリ</t>
    </rPh>
    <rPh sb="25" eb="27">
      <t>タイオウ</t>
    </rPh>
    <rPh sb="29" eb="30">
      <t>ガツ</t>
    </rPh>
    <rPh sb="30" eb="32">
      <t>シハライ</t>
    </rPh>
    <rPh sb="32" eb="33">
      <t>ズ</t>
    </rPh>
    <phoneticPr fontId="4"/>
  </si>
  <si>
    <t>1201512</t>
  </si>
  <si>
    <t>12100-017</t>
  </si>
  <si>
    <t xml:space="preserve">【一部解約】千葉大学医学部附属病院 </t>
  </si>
  <si>
    <t>2133319</t>
  </si>
  <si>
    <t>https://daifuku.sharepoint.com/sites/jp0211047/gyoumu/Lists/List4/DispForm.aspx?ID=1413&amp;e=sglrha</t>
    <phoneticPr fontId="0"/>
  </si>
  <si>
    <t>https://daifuku.sharepoint.com/sites/jp0211047/gyoumu/Lists/List4/DispForm.aspx?ID=1390&amp;e=vJmoym</t>
    <phoneticPr fontId="0"/>
  </si>
  <si>
    <t>https://daifuku.sharepoint.com/sites/jp0211047/gyoumu/Lists/List4/DispForm.aspx?ID=1427&amp;e=9gUjCb</t>
    <phoneticPr fontId="0"/>
  </si>
  <si>
    <t>https://daifuku.sharepoint.com/sites/jp0211047/gyoumu/Lists/List4/DispForm.aspx?ID=1389&amp;e=s8nAFQ</t>
    <phoneticPr fontId="0"/>
  </si>
  <si>
    <t>https://daifuku.sharepoint.com/sites/jp0211047/gyoumu/Lists/List4/DispForm.aspx?ID=1386&amp;e=T1SuBh</t>
    <phoneticPr fontId="0"/>
  </si>
  <si>
    <t>https://daifuku.sharepoint.com/sites/jp0211047/gyoumu/Lists/List4/DispForm.aspx?ID=1572&amp;e=MgpRsi</t>
    <phoneticPr fontId="0"/>
  </si>
  <si>
    <t>https://daifuku.sharepoint.com/sites/jp0211047/gyoumu/Lists/List4/DispForm.aspx?ID=1388&amp;e=99haEP</t>
    <phoneticPr fontId="0"/>
  </si>
  <si>
    <t>https://daifuku.sharepoint.com/sites/jp0211047/gyoumu/Lists/List4/DispForm.aspx?ID=1387&amp;e=u2PChP</t>
    <phoneticPr fontId="0"/>
  </si>
  <si>
    <t>https://daifuku.sharepoint.com/sites/jp0211047/gyoumu/Lists/List4/DispForm.aspx?ID=1384&amp;e=trztW2</t>
    <phoneticPr fontId="0"/>
  </si>
  <si>
    <t>https://daifuku.sharepoint.com/sites/jp0211047/gyoumu/Lists/List4/DispForm.aspx?ID=1385&amp;e=N8HJAh</t>
    <phoneticPr fontId="0"/>
  </si>
  <si>
    <t>https://daifuku.sharepoint.com/sites/jp0211047/gyoumu/Lists/List4/DispForm.aspx?ID=1391&amp;e=kyyfoi</t>
    <phoneticPr fontId="0"/>
  </si>
  <si>
    <t>https://daifuku.sharepoint.com/sites/jp0211047/gyoumu/Lists/List4/DispForm.aspx?ID=1545&amp;e=19OxsP</t>
    <phoneticPr fontId="0"/>
  </si>
  <si>
    <t>https://daifuku.sharepoint.com/sites/jp0211047/gyoumu/Lists/List4/DispForm.aspx?ID=1397&amp;e=o2uN3w</t>
    <phoneticPr fontId="0"/>
  </si>
  <si>
    <t>https://daifuku.sharepoint.com/sites/jp0211047/gyoumu/Lists/List4/DispForm.aspx?ID=1394&amp;e=NdpiKg</t>
    <phoneticPr fontId="0"/>
  </si>
  <si>
    <t>https://daifuku.sharepoint.com/sites/jp0211047/gyoumu/Lists/List4/DispForm.aspx?ID=1400&amp;e=2ogupQ</t>
    <phoneticPr fontId="0"/>
  </si>
  <si>
    <t>https://daifuku.sharepoint.com/sites/jp0211047/gyoumu/Lists/List4/DispForm.aspx?ID=1392&amp;e=ShPvcd</t>
    <phoneticPr fontId="0"/>
  </si>
  <si>
    <t>https://daifuku.sharepoint.com/sites/jp0211047/gyoumu/Lists/List4/DispForm.aspx?ID=1393&amp;e=eLhWhN</t>
    <phoneticPr fontId="0"/>
  </si>
  <si>
    <t>https://daifuku.sharepoint.com/sites/jp0211047/gyoumu/Lists/List4/DispForm.aspx?ID=1406&amp;e=efMwHA</t>
    <phoneticPr fontId="0"/>
  </si>
  <si>
    <t>https://daifuku.sharepoint.com/sites/jp0211047/gyoumu/Lists/List4/DispForm.aspx?ID=1403&amp;e=3ZndOK</t>
    <phoneticPr fontId="0"/>
  </si>
  <si>
    <t>https://daifuku.sharepoint.com/sites/jp0211047/gyoumu/Lists/List4/DispForm.aspx?ID=1404&amp;e=jhFCLj</t>
    <phoneticPr fontId="0"/>
  </si>
  <si>
    <t>https://daifuku.sharepoint.com/sites/jp0211047/gyoumu/Lists/List4/DispForm.aspx?ID=1428&amp;e=Ycq27v</t>
    <phoneticPr fontId="0"/>
  </si>
  <si>
    <t>https://daifuku.sharepoint.com/sites/jp0211047/gyoumu/Lists/List4/DispForm.aspx?ID=1411&amp;e=KK8eNc</t>
    <phoneticPr fontId="0"/>
  </si>
  <si>
    <t>https://daifuku.sharepoint.com/sites/jp0211047/gyoumu/Lists/List4/DispForm.aspx?ID=1432&amp;e=8OR8bY</t>
    <phoneticPr fontId="0"/>
  </si>
  <si>
    <t>https://daifuku.sharepoint.com/sites/jp0211047/gyoumu/Lists/List4/DispForm.aspx?ID=1405&amp;e=OlxdX5</t>
    <phoneticPr fontId="0"/>
  </si>
  <si>
    <t>https://daifuku.sharepoint.com/sites/jp0211047/gyoumu/Lists/List4/DispForm.aspx?ID=1292&amp;e=dipjJZ</t>
    <phoneticPr fontId="0"/>
  </si>
  <si>
    <t>https://daifuku.sharepoint.com/sites/jp0211047/gyoumu/Lists/List4/DispForm.aspx?ID=1431&amp;e=kjVPYC</t>
    <phoneticPr fontId="0"/>
  </si>
  <si>
    <t>https://daifuku.sharepoint.com/sites/jp0211047/gyoumu/Lists/List4/DispForm.aspx?ID=1408&amp;e=8uUM4p</t>
    <phoneticPr fontId="0"/>
  </si>
  <si>
    <t>https://daifuku.sharepoint.com/sites/jp0211047/gyoumu/Lists/List4/DispForm.aspx?ID=1409&amp;e=JJbbb2</t>
    <phoneticPr fontId="0"/>
  </si>
  <si>
    <t>https://daifuku.sharepoint.com/sites/jp0211047/gyoumu/Lists/List4/DispForm.aspx?ID=1407&amp;e=MIcs3A</t>
    <phoneticPr fontId="0"/>
  </si>
  <si>
    <t>https://daifuku.sharepoint.com/sites/jp0211047/gyoumu/Lists/List4/DispForm.aspx?ID=1309&amp;e=CEGCzn</t>
    <phoneticPr fontId="0"/>
  </si>
  <si>
    <t>https://daifuku.sharepoint.com/sites/jp0211047/gyoumu/Lists/List4/DispForm.aspx?ID=1414&amp;e=DPpMmc</t>
    <phoneticPr fontId="0"/>
  </si>
  <si>
    <t>https://daifuku.sharepoint.com/sites/jp0211047/gyoumu/Lists/List4/DispForm.aspx?ID=1416&amp;e=q5wsiU</t>
    <phoneticPr fontId="0"/>
  </si>
  <si>
    <t>https://daifuku.sharepoint.com/sites/jp0211047/gyoumu/Lists/List4/DispForm.aspx?ID=1415&amp;e=op4kcz</t>
    <phoneticPr fontId="0"/>
  </si>
  <si>
    <t>https://daifuku.sharepoint.com/sites/jp0211047/gyoumu/Lists/List4/DispForm.aspx?ID=1597&amp;e=hiK3Iv</t>
    <phoneticPr fontId="0"/>
  </si>
  <si>
    <t>https://daifuku.sharepoint.com/sites/jp0211047/gyoumu/Lists/List4/DispForm.aspx?ID=1436&amp;e=JpB7wf</t>
    <phoneticPr fontId="0"/>
  </si>
  <si>
    <t>https://daifuku.sharepoint.com/sites/jp0211047/gyoumu/Lists/List4/DispForm.aspx?ID=1446&amp;e=2wFdoY</t>
    <phoneticPr fontId="0"/>
  </si>
  <si>
    <t>https://daifuku.sharepoint.com/sites/jp0211047/gyoumu/Lists/List4/DispForm.aspx?ID=1426&amp;e=yghpWz</t>
    <phoneticPr fontId="0"/>
  </si>
  <si>
    <t>https://daifuku.sharepoint.com/sites/jp0211047/gyoumu/Lists/List4/DispForm.aspx?ID=1422&amp;e=oXB2gP</t>
    <phoneticPr fontId="0"/>
  </si>
  <si>
    <t>https://daifuku.sharepoint.com/sites/jp0211047/gyoumu/Lists/List4/DispForm.aspx?ID=1417&amp;e=y9OcZh</t>
    <phoneticPr fontId="0"/>
  </si>
  <si>
    <t>https://daifuku.sharepoint.com/sites/jp0211047/gyoumu/Lists/List4/DispForm.aspx?ID=1441&amp;e=1VTNBS</t>
    <phoneticPr fontId="0"/>
  </si>
  <si>
    <t>https://daifuku.sharepoint.com/sites/jp0211047/gyoumu/Lists/List4/DispForm.aspx?ID=1636&amp;e=LaQhRe</t>
    <phoneticPr fontId="0"/>
  </si>
  <si>
    <t>https://daifuku.sharepoint.com/sites/jp0211047/gyoumu/Lists/List4/DispForm.aspx?ID=1439&amp;e=focviK</t>
    <phoneticPr fontId="0"/>
  </si>
  <si>
    <t>https://daifuku.sharepoint.com/sites/jp0211047/gyoumu/Lists/List4/DispForm.aspx?ID=1419&amp;e=Akqlm6</t>
    <phoneticPr fontId="0"/>
  </si>
  <si>
    <t>https://daifuku.sharepoint.com/sites/jp0211047/gyoumu/Lists/List4/DispForm.aspx?ID=1421&amp;e=Pl3lhn</t>
    <phoneticPr fontId="0"/>
  </si>
  <si>
    <t>https://daifuku.sharepoint.com/sites/jp0211047/gyoumu/Lists/List4/DispForm.aspx?ID=1300&amp;e=PUmL9W</t>
    <phoneticPr fontId="0"/>
  </si>
  <si>
    <t>https://daifuku.sharepoint.com/sites/jp0211047/gyoumu/Lists/List4/DispForm.aspx?ID=1425&amp;e=10U4Jf</t>
    <phoneticPr fontId="0"/>
  </si>
  <si>
    <t>https://daifuku.sharepoint.com/sites/jp0211047/gyoumu/Lists/List4/DispForm.aspx?ID=1444&amp;e=0lmVKp</t>
    <phoneticPr fontId="0"/>
  </si>
  <si>
    <t>https://daifuku.sharepoint.com/sites/jp0211047/gyoumu/Lists/List4/DispForm.aspx?ID=1424&amp;e=HvCbE1</t>
    <phoneticPr fontId="0"/>
  </si>
  <si>
    <t>https://daifuku.sharepoint.com/sites/jp0211047/gyoumu/Lists/List4/DispForm.aspx?ID=1423&amp;e=ITB3rB</t>
    <phoneticPr fontId="0"/>
  </si>
  <si>
    <t>https://daifuku.sharepoint.com/sites/jp0211047/gyoumu/Lists/List4/DispForm.aspx?ID=1443&amp;e=FHfYLo</t>
    <phoneticPr fontId="0"/>
  </si>
  <si>
    <t>https://daifuku.sharepoint.com/sites/jp0211047/gyoumu/Lists/List4/DispForm.aspx?ID=1445&amp;e=1FQEW5</t>
    <phoneticPr fontId="0"/>
  </si>
  <si>
    <t>https://daifuku.sharepoint.com/sites/jp0211047/gyoumu/Lists/List4/DispForm.aspx?ID=1449&amp;e=o12b9G</t>
    <phoneticPr fontId="0"/>
  </si>
  <si>
    <t>https://daifuku.sharepoint.com/sites/jp0211047/gyoumu/Lists/List4/DispForm.aspx?ID=1448&amp;e=k2g7aZ</t>
    <phoneticPr fontId="0"/>
  </si>
  <si>
    <t>https://daifuku.sharepoint.com/sites/jp0211047/gyoumu/Lists/List4/DispForm.aspx?ID=1447&amp;e=Z0IVda</t>
    <phoneticPr fontId="0"/>
  </si>
  <si>
    <t>https://daifuku.sharepoint.com/sites/jp0211047/gyoumu/Lists/List4/DispForm.aspx?ID=1451&amp;e=daIBnc</t>
    <phoneticPr fontId="0"/>
  </si>
  <si>
    <t>https://daifuku.sharepoint.com/sites/jp0211047/gyoumu/Lists/List4/DispForm.aspx?ID=1338&amp;e=42DYGB</t>
    <phoneticPr fontId="0"/>
  </si>
  <si>
    <t>https://daifuku.sharepoint.com/sites/jp0211047/gyoumu/Lists/List4/DispForm.aspx?ID=1455&amp;e=GhuDnx</t>
    <phoneticPr fontId="0"/>
  </si>
  <si>
    <t>https://daifuku.sharepoint.com/sites/jp0211047/gyoumu/Lists/List4/DispForm.aspx?ID=1456&amp;e=wqQzgF</t>
    <phoneticPr fontId="0"/>
  </si>
  <si>
    <t>https://daifuku.sharepoint.com/sites/jp0211047/gyoumu/Lists/List4/DispForm.aspx?ID=1352&amp;e=avJES1</t>
    <phoneticPr fontId="0"/>
  </si>
  <si>
    <t>https://daifuku.sharepoint.com/sites/jp0211047/gyoumu/Lists/List4/DispForm.aspx?ID=1465&amp;e=sUjbRM</t>
    <phoneticPr fontId="0"/>
  </si>
  <si>
    <t>https://daifuku.sharepoint.com/sites/jp0211047/gyoumu/Lists/List4/DispForm.aspx?ID=1458&amp;e=GsszXc</t>
    <phoneticPr fontId="0"/>
  </si>
  <si>
    <t>https://daifuku.sharepoint.com/sites/jp0211047/gyoumu/Lists/List4/DispForm.aspx?ID=1462&amp;e=R5h1o4</t>
    <phoneticPr fontId="0"/>
  </si>
  <si>
    <t>https://daifuku.sharepoint.com/sites/jp0211047/gyoumu/Lists/List4/DispForm.aspx?ID=1463&amp;e=dEICvK</t>
    <phoneticPr fontId="0"/>
  </si>
  <si>
    <t>https://daifuku.sharepoint.com/sites/jp0211047/gyoumu/Lists/List4/DispForm.aspx?ID=1464&amp;e=brfbYN</t>
    <phoneticPr fontId="0"/>
  </si>
  <si>
    <t>https://daifuku.sharepoint.com/sites/jp0211047/gyoumu/Lists/List4/DispForm.aspx?ID=1547&amp;e=euA13x</t>
    <phoneticPr fontId="0"/>
  </si>
  <si>
    <t>https://daifuku.sharepoint.com/sites/jp0211047/gyoumu/Lists/List4/DispForm.aspx?ID=1461&amp;e=6wXV9q</t>
    <phoneticPr fontId="0"/>
  </si>
  <si>
    <t>https://daifuku.sharepoint.com/sites/jp0211047/gyoumu/Lists/List4/DispForm.aspx?ID=1358&amp;e=JXUPOQ</t>
    <phoneticPr fontId="0"/>
  </si>
  <si>
    <t>https://daifuku.sharepoint.com/sites/jp0211047/gyoumu/Lists/List4/DispForm.aspx?ID=1459&amp;e=019DX4</t>
    <phoneticPr fontId="0"/>
  </si>
  <si>
    <t>https://daifuku.sharepoint.com/sites/jp0211047/gyoumu/Lists/List4/DispForm.aspx?ID=1467&amp;e=m3MUz8</t>
    <phoneticPr fontId="0"/>
  </si>
  <si>
    <t>https://daifuku.sharepoint.com/sites/jp0211047/gyoumu/Lists/List4/DispForm.aspx?ID=1466&amp;e=mCfHfb</t>
    <phoneticPr fontId="0"/>
  </si>
  <si>
    <t>https://daifuku.sharepoint.com/sites/jp0211047/gyoumu/Lists/List4/DispForm.aspx?ID=1472&amp;e=rdmPGu</t>
    <phoneticPr fontId="0"/>
  </si>
  <si>
    <t>https://daifuku.sharepoint.com/sites/jp0211047/gyoumu/Lists/List4/DispForm.aspx?ID=1474&amp;e=D4s0c8</t>
    <phoneticPr fontId="0"/>
  </si>
  <si>
    <t>https://daifuku.sharepoint.com/sites/jp0211047/gyoumu/Lists/List4/DispForm.aspx?ID=1476&amp;e=jgSVaC</t>
    <phoneticPr fontId="0"/>
  </si>
  <si>
    <t>https://daifuku.sharepoint.com/sites/jp0211047/gyoumu/Lists/List4/DispForm.aspx?ID=1471&amp;e=uoE7sL</t>
    <phoneticPr fontId="0"/>
  </si>
  <si>
    <t>https://daifuku.sharepoint.com/sites/jp0211047/gyoumu/Lists/List4/DispForm.aspx?ID=1469&amp;e=f0ztTT</t>
    <phoneticPr fontId="0"/>
  </si>
  <si>
    <t>https://daifuku.sharepoint.com/sites/jp0211047/gyoumu/Lists/List4/DispForm.aspx?ID=1477&amp;e=nojVzP</t>
    <phoneticPr fontId="0"/>
  </si>
  <si>
    <t>https://daifuku.sharepoint.com/sites/jp0211047/gyoumu/Lists/List4/DispForm.aspx?ID=1593&amp;e=OPHrnh</t>
    <phoneticPr fontId="0"/>
  </si>
  <si>
    <t>https://daifuku.sharepoint.com/sites/jp0211047/gyoumu/Lists/List4/DispForm.aspx?ID=1410&amp;e=oahNuY</t>
    <phoneticPr fontId="0"/>
  </si>
  <si>
    <t>作成済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</si>
</sst>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3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b/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sz val="11"/>
      <name val="游ゴシック"/>
      <family val="3"/>
      <charset val="128"/>
    </font>
    <font>
      <sz val="11"/>
      <name val="ＭＳ Ｐゴシック"/>
      <family val="3"/>
      <charset val="128"/>
    </font>
    <font>
      <sz val="11"/>
      <name val="Meiryo UI"/>
      <family val="3"/>
      <charset val="128"/>
    </font>
    <font>
      <sz val="10.5"/>
      <color rgb="FF000000"/>
      <name val="Meiryo UI"/>
      <family val="3"/>
      <charset val="128"/>
    </font>
    <font>
      <sz val="10"/>
      <name val="Meiryo UI"/>
      <family val="3"/>
      <charset val="128"/>
    </font>
    <font>
      <b/>
      <sz val="24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u/>
      <sz val="11"/>
      <name val="Meiryo UI"/>
      <family val="3"/>
      <charset val="128"/>
    </font>
    <font>
      <sz val="9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sz val="10"/>
      <color indexed="12"/>
      <name val="Meiryo UI"/>
      <family val="3"/>
      <charset val="128"/>
    </font>
    <font>
      <b/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0"/>
      <color theme="0" tint="-0.1499984740745262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sz val="10"/>
      <color rgb="FF0000FF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rgb="FF9900FF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6"/>
      <name val="Calibri"/>
      <family val="3"/>
      <charset val="128"/>
    </font>
    <font>
      <b/>
      <sz val="11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2"/>
      <color rgb="FF000000"/>
      <name val="Aptos"/>
      <family val="2"/>
    </font>
    <font>
      <sz val="12"/>
      <color rgb="FF000000"/>
      <name val="ＭＳ Ｐゴシック"/>
      <family val="3"/>
      <charset val="128"/>
    </font>
    <font>
      <sz val="11"/>
      <color rgb="FF0070C0"/>
      <name val="Meiryo UI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9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6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6" fontId="11" fillId="0" borderId="0" applyFont="0" applyFill="0" applyBorder="0" applyAlignment="0" applyProtection="0">
      <alignment vertical="center"/>
    </xf>
    <xf numFmtId="0" fontId="11" fillId="0" borderId="0"/>
  </cellStyleXfs>
  <cellXfs count="122">
    <xf numFmtId="0" fontId="0" fillId="0" borderId="0" xfId="0">
      <alignment vertical="center"/>
    </xf>
    <xf numFmtId="0" fontId="6" fillId="0" borderId="0" xfId="1">
      <alignment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1" applyFont="1">
      <alignment vertical="center"/>
    </xf>
    <xf numFmtId="0" fontId="17" fillId="6" borderId="0" xfId="0" applyFont="1" applyFill="1" applyAlignment="1">
      <alignment horizontal="left" vertical="center"/>
    </xf>
    <xf numFmtId="6" fontId="14" fillId="0" borderId="0" xfId="0" applyNumberFormat="1" applyFont="1">
      <alignment vertical="center"/>
    </xf>
    <xf numFmtId="0" fontId="14" fillId="0" borderId="0" xfId="0" applyFont="1" applyAlignment="1">
      <alignment horizontal="right" vertical="center"/>
    </xf>
    <xf numFmtId="14" fontId="14" fillId="0" borderId="0" xfId="0" applyNumberFormat="1" applyFont="1">
      <alignment vertical="center"/>
    </xf>
    <xf numFmtId="0" fontId="18" fillId="0" borderId="0" xfId="0" applyFont="1">
      <alignment vertical="center"/>
    </xf>
    <xf numFmtId="14" fontId="19" fillId="3" borderId="0" xfId="0" applyNumberFormat="1" applyFont="1" applyFill="1">
      <alignment vertical="center"/>
    </xf>
    <xf numFmtId="0" fontId="20" fillId="0" borderId="0" xfId="0" applyFont="1">
      <alignment vertical="center"/>
    </xf>
    <xf numFmtId="0" fontId="21" fillId="4" borderId="1" xfId="0" applyFont="1" applyFill="1" applyBorder="1">
      <alignment vertical="center"/>
    </xf>
    <xf numFmtId="0" fontId="21" fillId="4" borderId="1" xfId="0" applyFont="1" applyFill="1" applyBorder="1" applyAlignment="1">
      <alignment horizontal="center" vertical="center"/>
    </xf>
    <xf numFmtId="6" fontId="21" fillId="4" borderId="1" xfId="0" applyNumberFormat="1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14" fontId="21" fillId="5" borderId="1" xfId="0" applyNumberFormat="1" applyFont="1" applyFill="1" applyBorder="1" applyAlignment="1">
      <alignment horizontal="center" vertical="center"/>
    </xf>
    <xf numFmtId="0" fontId="14" fillId="6" borderId="0" xfId="0" applyFont="1" applyFill="1">
      <alignment vertical="center"/>
    </xf>
    <xf numFmtId="6" fontId="14" fillId="6" borderId="0" xfId="0" applyNumberFormat="1" applyFont="1" applyFill="1">
      <alignment vertical="center"/>
    </xf>
    <xf numFmtId="0" fontId="14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right" vertical="center"/>
    </xf>
    <xf numFmtId="14" fontId="14" fillId="6" borderId="0" xfId="0" applyNumberFormat="1" applyFont="1" applyFill="1">
      <alignment vertical="center"/>
    </xf>
    <xf numFmtId="0" fontId="24" fillId="0" borderId="0" xfId="0" applyFont="1" applyAlignment="1">
      <alignment horizontal="left"/>
    </xf>
    <xf numFmtId="0" fontId="14" fillId="0" borderId="0" xfId="0" applyFont="1" applyAlignment="1">
      <alignment horizontal="left"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24" fillId="0" borderId="0" xfId="0" applyFont="1" applyAlignment="1">
      <alignment horizontal="right" vertical="center"/>
    </xf>
    <xf numFmtId="0" fontId="21" fillId="2" borderId="2" xfId="0" applyFont="1" applyFill="1" applyBorder="1" applyAlignment="1">
      <alignment horizontal="left" vertical="center"/>
    </xf>
    <xf numFmtId="0" fontId="21" fillId="2" borderId="3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6" fontId="22" fillId="0" borderId="1" xfId="3" applyFont="1" applyFill="1" applyBorder="1">
      <alignment vertical="center"/>
    </xf>
    <xf numFmtId="6" fontId="22" fillId="0" borderId="1" xfId="3" applyFont="1" applyFill="1" applyBorder="1" applyAlignment="1">
      <alignment horizontal="right" vertical="center"/>
    </xf>
    <xf numFmtId="6" fontId="12" fillId="0" borderId="1" xfId="3" applyFont="1" applyFill="1" applyBorder="1">
      <alignment vertical="center"/>
    </xf>
    <xf numFmtId="6" fontId="12" fillId="0" borderId="1" xfId="3" applyFont="1" applyFill="1" applyBorder="1" applyAlignment="1">
      <alignment horizontal="right" vertical="center"/>
    </xf>
    <xf numFmtId="0" fontId="27" fillId="0" borderId="0" xfId="0" applyFont="1">
      <alignment vertical="center"/>
    </xf>
    <xf numFmtId="0" fontId="14" fillId="8" borderId="1" xfId="0" applyFont="1" applyFill="1" applyBorder="1">
      <alignment vertical="center"/>
    </xf>
    <xf numFmtId="0" fontId="14" fillId="0" borderId="1" xfId="0" applyFont="1" applyBorder="1">
      <alignment vertical="center"/>
    </xf>
    <xf numFmtId="0" fontId="29" fillId="0" borderId="0" xfId="0" applyFont="1">
      <alignment vertical="center"/>
    </xf>
    <xf numFmtId="0" fontId="21" fillId="7" borderId="1" xfId="0" applyFont="1" applyFill="1" applyBorder="1">
      <alignment vertical="center"/>
    </xf>
    <xf numFmtId="0" fontId="21" fillId="2" borderId="1" xfId="0" applyFont="1" applyFill="1" applyBorder="1">
      <alignment vertical="center"/>
    </xf>
    <xf numFmtId="14" fontId="22" fillId="0" borderId="0" xfId="0" applyNumberFormat="1" applyFont="1">
      <alignment vertical="center"/>
    </xf>
    <xf numFmtId="0" fontId="22" fillId="0" borderId="0" xfId="0" applyFont="1">
      <alignment vertical="center"/>
    </xf>
    <xf numFmtId="6" fontId="22" fillId="0" borderId="0" xfId="3" applyFont="1" applyFill="1" applyBorder="1">
      <alignment vertical="center"/>
    </xf>
    <xf numFmtId="6" fontId="22" fillId="0" borderId="0" xfId="3" applyFont="1" applyFill="1" applyBorder="1" applyAlignment="1">
      <alignment horizontal="right" vertical="center"/>
    </xf>
    <xf numFmtId="0" fontId="14" fillId="9" borderId="1" xfId="0" applyFont="1" applyFill="1" applyBorder="1">
      <alignment vertical="center"/>
    </xf>
    <xf numFmtId="0" fontId="14" fillId="10" borderId="1" xfId="0" applyFont="1" applyFill="1" applyBorder="1">
      <alignment vertical="center"/>
    </xf>
    <xf numFmtId="0" fontId="12" fillId="10" borderId="1" xfId="0" applyFont="1" applyFill="1" applyBorder="1">
      <alignment vertical="center"/>
    </xf>
    <xf numFmtId="0" fontId="27" fillId="10" borderId="1" xfId="0" applyFont="1" applyFill="1" applyBorder="1">
      <alignment vertical="center"/>
    </xf>
    <xf numFmtId="0" fontId="12" fillId="9" borderId="1" xfId="0" applyFont="1" applyFill="1" applyBorder="1">
      <alignment vertical="center"/>
    </xf>
    <xf numFmtId="0" fontId="27" fillId="9" borderId="1" xfId="0" applyFont="1" applyFill="1" applyBorder="1">
      <alignment vertical="center"/>
    </xf>
    <xf numFmtId="0" fontId="14" fillId="11" borderId="1" xfId="0" applyFont="1" applyFill="1" applyBorder="1">
      <alignment vertical="center"/>
    </xf>
    <xf numFmtId="0" fontId="12" fillId="11" borderId="1" xfId="0" applyFont="1" applyFill="1" applyBorder="1">
      <alignment vertical="center"/>
    </xf>
    <xf numFmtId="0" fontId="27" fillId="11" borderId="1" xfId="0" applyFont="1" applyFill="1" applyBorder="1">
      <alignment vertical="center"/>
    </xf>
    <xf numFmtId="0" fontId="14" fillId="12" borderId="1" xfId="0" applyFont="1" applyFill="1" applyBorder="1">
      <alignment vertical="center"/>
    </xf>
    <xf numFmtId="0" fontId="12" fillId="12" borderId="1" xfId="0" applyFont="1" applyFill="1" applyBorder="1">
      <alignment vertical="center"/>
    </xf>
    <xf numFmtId="0" fontId="27" fillId="12" borderId="1" xfId="0" applyFont="1" applyFill="1" applyBorder="1">
      <alignment vertical="center"/>
    </xf>
    <xf numFmtId="0" fontId="14" fillId="13" borderId="1" xfId="0" applyFont="1" applyFill="1" applyBorder="1">
      <alignment vertical="center"/>
    </xf>
    <xf numFmtId="0" fontId="12" fillId="13" borderId="1" xfId="0" applyFont="1" applyFill="1" applyBorder="1">
      <alignment vertical="center"/>
    </xf>
    <xf numFmtId="0" fontId="27" fillId="13" borderId="1" xfId="0" applyFont="1" applyFill="1" applyBorder="1">
      <alignment vertical="center"/>
    </xf>
    <xf numFmtId="0" fontId="14" fillId="14" borderId="1" xfId="0" applyFont="1" applyFill="1" applyBorder="1">
      <alignment vertical="center"/>
    </xf>
    <xf numFmtId="0" fontId="12" fillId="14" borderId="1" xfId="0" applyFont="1" applyFill="1" applyBorder="1">
      <alignment vertical="center"/>
    </xf>
    <xf numFmtId="0" fontId="27" fillId="14" borderId="1" xfId="0" applyFont="1" applyFill="1" applyBorder="1">
      <alignment vertical="center"/>
    </xf>
    <xf numFmtId="0" fontId="14" fillId="7" borderId="0" xfId="0" applyFont="1" applyFill="1">
      <alignment vertical="center"/>
    </xf>
    <xf numFmtId="0" fontId="6" fillId="0" borderId="0" xfId="1" applyFill="1">
      <alignment vertical="center"/>
    </xf>
    <xf numFmtId="0" fontId="12" fillId="7" borderId="0" xfId="0" applyFont="1" applyFill="1">
      <alignment vertical="center"/>
    </xf>
    <xf numFmtId="6" fontId="12" fillId="0" borderId="0" xfId="3" applyFont="1" applyFill="1" applyBorder="1" applyAlignment="1">
      <alignment horizontal="right" vertical="center"/>
    </xf>
    <xf numFmtId="14" fontId="12" fillId="0" borderId="0" xfId="0" applyNumberFormat="1" applyFont="1">
      <alignment vertical="center"/>
    </xf>
    <xf numFmtId="0" fontId="6" fillId="0" borderId="1" xfId="1" applyFill="1" applyBorder="1">
      <alignment vertical="center"/>
    </xf>
    <xf numFmtId="56" fontId="12" fillId="0" borderId="0" xfId="0" applyNumberFormat="1" applyFont="1">
      <alignment vertical="center"/>
    </xf>
    <xf numFmtId="56" fontId="14" fillId="0" borderId="0" xfId="0" applyNumberFormat="1" applyFont="1">
      <alignment vertical="center"/>
    </xf>
    <xf numFmtId="0" fontId="14" fillId="15" borderId="1" xfId="0" applyFont="1" applyFill="1" applyBorder="1">
      <alignment vertical="center"/>
    </xf>
    <xf numFmtId="0" fontId="12" fillId="15" borderId="1" xfId="0" applyFont="1" applyFill="1" applyBorder="1">
      <alignment vertical="center"/>
    </xf>
    <xf numFmtId="0" fontId="27" fillId="15" borderId="1" xfId="0" applyFont="1" applyFill="1" applyBorder="1">
      <alignment vertical="center"/>
    </xf>
    <xf numFmtId="0" fontId="14" fillId="16" borderId="1" xfId="0" applyFont="1" applyFill="1" applyBorder="1">
      <alignment vertical="center"/>
    </xf>
    <xf numFmtId="0" fontId="12" fillId="16" borderId="1" xfId="0" applyFont="1" applyFill="1" applyBorder="1">
      <alignment vertical="center"/>
    </xf>
    <xf numFmtId="0" fontId="27" fillId="16" borderId="1" xfId="0" applyFont="1" applyFill="1" applyBorder="1">
      <alignment vertical="center"/>
    </xf>
    <xf numFmtId="0" fontId="14" fillId="17" borderId="1" xfId="0" applyFont="1" applyFill="1" applyBorder="1">
      <alignment vertical="center"/>
    </xf>
    <xf numFmtId="0" fontId="12" fillId="17" borderId="1" xfId="0" applyFont="1" applyFill="1" applyBorder="1">
      <alignment vertical="center"/>
    </xf>
    <xf numFmtId="0" fontId="27" fillId="17" borderId="1" xfId="0" applyFont="1" applyFill="1" applyBorder="1">
      <alignment vertical="center"/>
    </xf>
    <xf numFmtId="0" fontId="14" fillId="9" borderId="1" xfId="0" applyFont="1" applyFill="1" applyBorder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6" borderId="0" xfId="0" applyFont="1" applyFill="1">
      <alignment vertical="center"/>
    </xf>
    <xf numFmtId="49" fontId="32" fillId="6" borderId="4" xfId="8" applyNumberFormat="1" applyFont="1" applyFill="1" applyBorder="1" applyAlignment="1">
      <alignment horizontal="center" vertical="center" shrinkToFit="1"/>
    </xf>
    <xf numFmtId="49" fontId="22" fillId="0" borderId="1" xfId="0" applyNumberFormat="1" applyFont="1" applyBorder="1">
      <alignment vertical="center"/>
    </xf>
    <xf numFmtId="49" fontId="22" fillId="10" borderId="1" xfId="0" applyNumberFormat="1" applyFont="1" applyFill="1" applyBorder="1">
      <alignment vertical="center"/>
    </xf>
    <xf numFmtId="49" fontId="12" fillId="10" borderId="1" xfId="0" applyNumberFormat="1" applyFont="1" applyFill="1" applyBorder="1">
      <alignment vertical="center"/>
    </xf>
    <xf numFmtId="49" fontId="28" fillId="10" borderId="1" xfId="0" applyNumberFormat="1" applyFont="1" applyFill="1" applyBorder="1">
      <alignment vertical="center"/>
    </xf>
    <xf numFmtId="0" fontId="18" fillId="0" borderId="1" xfId="0" applyFont="1" applyBorder="1">
      <alignment vertical="center"/>
    </xf>
    <xf numFmtId="49" fontId="12" fillId="0" borderId="0" xfId="0" applyNumberFormat="1" applyFont="1">
      <alignment vertical="center"/>
    </xf>
    <xf numFmtId="0" fontId="33" fillId="0" borderId="1" xfId="0" applyFont="1" applyBorder="1">
      <alignment vertical="center"/>
    </xf>
    <xf numFmtId="49" fontId="34" fillId="0" borderId="1" xfId="0" applyNumberFormat="1" applyFont="1" applyBorder="1">
      <alignment vertical="center"/>
    </xf>
    <xf numFmtId="0" fontId="18" fillId="0" borderId="1" xfId="5" applyFont="1" applyBorder="1">
      <alignment vertical="center"/>
    </xf>
    <xf numFmtId="56" fontId="18" fillId="0" borderId="1" xfId="0" applyNumberFormat="1" applyFont="1" applyBorder="1">
      <alignment vertical="center"/>
    </xf>
    <xf numFmtId="0" fontId="35" fillId="0" borderId="0" xfId="0" applyFont="1">
      <alignment vertical="center"/>
    </xf>
    <xf numFmtId="49" fontId="22" fillId="18" borderId="1" xfId="0" applyNumberFormat="1" applyFont="1" applyFill="1" applyBorder="1">
      <alignment vertical="center"/>
    </xf>
    <xf numFmtId="49" fontId="22" fillId="11" borderId="1" xfId="0" applyNumberFormat="1" applyFont="1" applyFill="1" applyBorder="1">
      <alignment vertical="center"/>
    </xf>
    <xf numFmtId="49" fontId="22" fillId="16" borderId="1" xfId="0" applyNumberFormat="1" applyFont="1" applyFill="1" applyBorder="1">
      <alignment vertical="center"/>
    </xf>
    <xf numFmtId="49" fontId="22" fillId="13" borderId="1" xfId="0" applyNumberFormat="1" applyFont="1" applyFill="1" applyBorder="1">
      <alignment vertical="center"/>
    </xf>
    <xf numFmtId="49" fontId="22" fillId="19" borderId="1" xfId="0" applyNumberFormat="1" applyFont="1" applyFill="1" applyBorder="1">
      <alignment vertical="center"/>
    </xf>
    <xf numFmtId="49" fontId="22" fillId="17" borderId="1" xfId="0" applyNumberFormat="1" applyFont="1" applyFill="1" applyBorder="1">
      <alignment vertical="center"/>
    </xf>
    <xf numFmtId="49" fontId="22" fillId="14" borderId="1" xfId="0" applyNumberFormat="1" applyFont="1" applyFill="1" applyBorder="1">
      <alignment vertical="center"/>
    </xf>
    <xf numFmtId="6" fontId="28" fillId="0" borderId="1" xfId="3" applyFont="1" applyFill="1" applyBorder="1">
      <alignment vertical="center"/>
    </xf>
    <xf numFmtId="49" fontId="22" fillId="18" borderId="0" xfId="0" applyNumberFormat="1" applyFont="1" applyFill="1">
      <alignment vertical="center"/>
    </xf>
    <xf numFmtId="49" fontId="22" fillId="11" borderId="0" xfId="0" applyNumberFormat="1" applyFont="1" applyFill="1">
      <alignment vertical="center"/>
    </xf>
    <xf numFmtId="49" fontId="22" fillId="16" borderId="0" xfId="0" applyNumberFormat="1" applyFont="1" applyFill="1">
      <alignment vertical="center"/>
    </xf>
    <xf numFmtId="49" fontId="22" fillId="14" borderId="0" xfId="0" applyNumberFormat="1" applyFont="1" applyFill="1">
      <alignment vertical="center"/>
    </xf>
    <xf numFmtId="0" fontId="36" fillId="0" borderId="0" xfId="0" applyFont="1" applyAlignment="1">
      <alignment horizontal="left" vertical="center"/>
    </xf>
    <xf numFmtId="0" fontId="37" fillId="0" borderId="0" xfId="0" applyFont="1">
      <alignment vertical="center"/>
    </xf>
    <xf numFmtId="14" fontId="22" fillId="0" borderId="1" xfId="0" applyNumberFormat="1" applyFont="1" applyBorder="1">
      <alignment vertical="center"/>
    </xf>
    <xf numFmtId="0" fontId="22" fillId="0" borderId="1" xfId="0" applyFont="1" applyBorder="1">
      <alignment vertical="center"/>
    </xf>
    <xf numFmtId="14" fontId="12" fillId="0" borderId="1" xfId="0" applyNumberFormat="1" applyFont="1" applyBorder="1">
      <alignment vertical="center"/>
    </xf>
    <xf numFmtId="0" fontId="12" fillId="0" borderId="1" xfId="0" applyFont="1" applyBorder="1">
      <alignment vertical="center"/>
    </xf>
    <xf numFmtId="14" fontId="28" fillId="0" borderId="1" xfId="0" applyNumberFormat="1" applyFont="1" applyBorder="1">
      <alignment vertical="center"/>
    </xf>
    <xf numFmtId="0" fontId="38" fillId="0" borderId="1" xfId="0" applyFont="1" applyBorder="1">
      <alignment vertical="center"/>
    </xf>
    <xf numFmtId="0" fontId="38" fillId="6" borderId="1" xfId="0" applyFont="1" applyFill="1" applyBorder="1">
      <alignment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</cellXfs>
  <cellStyles count="9">
    <cellStyle name="ハイパーリンク" xfId="1" builtinId="8"/>
    <cellStyle name="通貨" xfId="3" builtinId="7"/>
    <cellStyle name="通貨 2" xfId="7" xr:uid="{00000000-0005-0000-0000-000002000000}"/>
    <cellStyle name="標準" xfId="0" builtinId="0"/>
    <cellStyle name="標準 2" xfId="2" xr:uid="{00000000-0005-0000-0000-000004000000}"/>
    <cellStyle name="標準 2 2" xfId="6" xr:uid="{00000000-0005-0000-0000-000005000000}"/>
    <cellStyle name="標準 3" xfId="5" xr:uid="{00000000-0005-0000-0000-000006000000}"/>
    <cellStyle name="標準 4" xfId="4" xr:uid="{00000000-0005-0000-0000-000007000000}"/>
    <cellStyle name="標準_９０期組織組織編成表(FA&amp;DA生産)050317" xfId="8" xr:uid="{7BEC5179-0F98-4D54-A4C4-574E93D38C8E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FCCFF"/>
      <color rgb="FF99CCFF"/>
      <color rgb="FF99FFCC"/>
      <color rgb="FFFFCC99"/>
      <color rgb="FFCCCCFF"/>
      <color rgb="FFCCFFFF"/>
      <color rgb="FFCCFFCC"/>
      <color rgb="FFCC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I$5" lockText="1" noThreeD="1"/>
</file>

<file path=xl/ctrlProps/ctrlProp3.xml><?xml version="1.0" encoding="utf-8"?>
<formControlPr xmlns="http://schemas.microsoft.com/office/spreadsheetml/2009/9/main" objectType="CheckBox" checked="Checked" fmlaLink="$I$6" lockText="1" noThreeD="1"/>
</file>

<file path=xl/ctrlProps/ctrlProp4.xml><?xml version="1.0" encoding="utf-8"?>
<formControlPr xmlns="http://schemas.microsoft.com/office/spreadsheetml/2009/9/main" objectType="CheckBox" checked="Checked" fmlaLink="$I$7" lockText="1" noThreeD="1"/>
</file>

<file path=xl/ctrlProps/ctrlProp5.xml><?xml version="1.0" encoding="utf-8"?>
<formControlPr xmlns="http://schemas.microsoft.com/office/spreadsheetml/2009/9/main" objectType="CheckBox" checked="Checked" fmlaLink="$I$9" lockText="1" noThreeD="1"/>
</file>

<file path=xl/ctrlProps/ctrlProp6.xml><?xml version="1.0" encoding="utf-8"?>
<formControlPr xmlns="http://schemas.microsoft.com/office/spreadsheetml/2009/9/main" objectType="CheckBox" checked="Checked" fmlaLink="$I$10" lockText="1" noThreeD="1"/>
</file>

<file path=xl/ctrlProps/ctrlProp7.xml><?xml version="1.0" encoding="utf-8"?>
<formControlPr xmlns="http://schemas.microsoft.com/office/spreadsheetml/2009/9/main" objectType="CheckBox" checked="Checked" fmlaLink="$I$11" lockText="1" noThreeD="1"/>
</file>

<file path=xl/ctrlProps/ctrlProp8.xml><?xml version="1.0" encoding="utf-8"?>
<formControlPr xmlns="http://schemas.microsoft.com/office/spreadsheetml/2009/9/main" objectType="CheckBox" checked="Checked" fmlaLink="$I$14" lockText="1" noThreeD="1"/>
</file>

<file path=xl/ctrlProps/ctrlProp9.xml><?xml version="1.0" encoding="utf-8"?>
<formControlPr xmlns="http://schemas.microsoft.com/office/spreadsheetml/2009/9/main" objectType="CheckBox" checked="Checked" fmlaLink="$I$15" lockText="1" noThreeD="1"/>
</file>

<file path=xl/ctrlProps/ctrlProp10.xml><?xml version="1.0" encoding="utf-8"?>
<formControlPr xmlns="http://schemas.microsoft.com/office/spreadsheetml/2009/9/main" objectType="CheckBox" checked="Checked" fmlaLink="$I$16" lockText="1" noThreeD="1"/>
</file>

<file path=xl/ctrlProps/ctrlProp11.xml><?xml version="1.0" encoding="utf-8"?>
<formControlPr xmlns="http://schemas.microsoft.com/office/spreadsheetml/2009/9/main" objectType="CheckBox" checked="Checked" fmlaLink="$I$22" lockText="1" noThreeD="1"/>
</file>

<file path=xl/ctrlProps/ctrlProp12.xml><?xml version="1.0" encoding="utf-8"?>
<formControlPr xmlns="http://schemas.microsoft.com/office/spreadsheetml/2009/9/main" objectType="CheckBox" checked="Checked" fmlaLink="$I$23" lockText="1" noThreeD="1"/>
</file>

<file path=xl/ctrlProps/ctrlProp13.xml><?xml version="1.0" encoding="utf-8"?>
<formControlPr xmlns="http://schemas.microsoft.com/office/spreadsheetml/2009/9/main" objectType="CheckBox" checked="Checked" fmlaLink="$I$18" lockText="1" noThreeD="1"/>
</file>

<file path=xl/ctrlProps/ctrlProp14.xml><?xml version="1.0" encoding="utf-8"?>
<formControlPr xmlns="http://schemas.microsoft.com/office/spreadsheetml/2009/9/main" objectType="CheckBox" checked="Checked" fmlaLink="$I$19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checked="Checked" fmlaLink="$I$25" lockText="1" noThreeD="1"/>
</file>

<file path=xl/ctrlProps/ctrlProp17.xml><?xml version="1.0" encoding="utf-8"?>
<formControlPr xmlns="http://schemas.microsoft.com/office/spreadsheetml/2009/9/main" objectType="CheckBox" checked="Checked" fmlaLink="$I$26" lockText="1" noThreeD="1"/>
</file>

<file path=xl/ctrlProps/ctrlProp18.xml><?xml version="1.0" encoding="utf-8"?>
<formControlPr xmlns="http://schemas.microsoft.com/office/spreadsheetml/2009/9/main" objectType="CheckBox" fmlaLink="#REF!" lockText="1" noThreeD="1"/>
</file>

<file path=xl/ctrlProps/ctrlProp19.xml><?xml version="1.0" encoding="utf-8"?>
<formControlPr xmlns="http://schemas.microsoft.com/office/spreadsheetml/2009/9/main" objectType="CheckBox" checked="Checked" fmlaLink="$I$30" lockText="1" noThreeD="1"/>
</file>

<file path=xl/ctrlProps/ctrlProp20.xml><?xml version="1.0" encoding="utf-8"?>
<formControlPr xmlns="http://schemas.microsoft.com/office/spreadsheetml/2009/9/main" objectType="CheckBox" checked="Checked" fmlaLink="$I$31" lockText="1" noThreeD="1"/>
</file>

<file path=xl/ctrlProps/ctrlProp21.xml><?xml version="1.0" encoding="utf-8"?>
<formControlPr xmlns="http://schemas.microsoft.com/office/spreadsheetml/2009/9/main" objectType="CheckBox" checked="Checked" fmlaLink="$I$32" lockText="1" noThreeD="1"/>
</file>

<file path=xl/ctrlProps/ctrlProp22.xml><?xml version="1.0" encoding="utf-8"?>
<formControlPr xmlns="http://schemas.microsoft.com/office/spreadsheetml/2009/9/main" objectType="CheckBox" checked="Checked" fmlaLink="$I$33" lockText="1" noThreeD="1"/>
</file>

<file path=xl/ctrlProps/ctrlProp23.xml><?xml version="1.0" encoding="utf-8"?>
<formControlPr xmlns="http://schemas.microsoft.com/office/spreadsheetml/2009/9/main" objectType="CheckBox" checked="Checked" fmlaLink="$I$35" lockText="1" noThreeD="1"/>
</file>

<file path=xl/ctrlProps/ctrlProp24.xml><?xml version="1.0" encoding="utf-8"?>
<formControlPr xmlns="http://schemas.microsoft.com/office/spreadsheetml/2009/9/main" objectType="CheckBox" checked="Checked" fmlaLink="$I$36" lockText="1" noThreeD="1"/>
</file>

<file path=xl/ctrlProps/ctrlProp25.xml><?xml version="1.0" encoding="utf-8"?>
<formControlPr xmlns="http://schemas.microsoft.com/office/spreadsheetml/2009/9/main" objectType="CheckBox" checked="Checked" fmlaLink="$I$37" lockText="1" noThreeD="1"/>
</file>

<file path=xl/ctrlProps/ctrlProp26.xml><?xml version="1.0" encoding="utf-8"?>
<formControlPr xmlns="http://schemas.microsoft.com/office/spreadsheetml/2009/9/main" objectType="CheckBox" checked="Checked" fmlaLink="$I$38" lockText="1" noThreeD="1"/>
</file>

<file path=xl/ctrlProps/ctrlProp27.xml><?xml version="1.0" encoding="utf-8"?>
<formControlPr xmlns="http://schemas.microsoft.com/office/spreadsheetml/2009/9/main" objectType="CheckBox" checked="Checked" fmlaLink="$I$40" lockText="1" noThreeD="1"/>
</file>

<file path=xl/ctrlProps/ctrlProp28.xml><?xml version="1.0" encoding="utf-8"?>
<formControlPr xmlns="http://schemas.microsoft.com/office/spreadsheetml/2009/9/main" objectType="CheckBox" checked="Checked" fmlaLink="$I$42" lockText="1" noThreeD="1"/>
</file>

<file path=xl/ctrlProps/ctrlProp29.xml><?xml version="1.0" encoding="utf-8"?>
<formControlPr xmlns="http://schemas.microsoft.com/office/spreadsheetml/2009/9/main" objectType="CheckBox" checked="Checked" fmlaLink="$I$43" lockText="1" noThreeD="1"/>
</file>

<file path=xl/ctrlProps/ctrlProp30.xml><?xml version="1.0" encoding="utf-8"?>
<formControlPr xmlns="http://schemas.microsoft.com/office/spreadsheetml/2009/9/main" objectType="CheckBox" checked="Checked" fmlaLink="$I$44" lockText="1" noThreeD="1"/>
</file>

<file path=xl/ctrlProps/ctrlProp31.xml><?xml version="1.0" encoding="utf-8"?>
<formControlPr xmlns="http://schemas.microsoft.com/office/spreadsheetml/2009/9/main" objectType="CheckBox" checked="Checked" fmlaLink="$I$45" lockText="1" noThreeD="1"/>
</file>

<file path=xl/ctrlProps/ctrlProp32.xml><?xml version="1.0" encoding="utf-8"?>
<formControlPr xmlns="http://schemas.microsoft.com/office/spreadsheetml/2009/9/main" objectType="CheckBox" checked="Checked" fmlaLink="$I$46" lockText="1" noThreeD="1"/>
</file>

<file path=xl/ctrlProps/ctrlProp33.xml><?xml version="1.0" encoding="utf-8"?>
<formControlPr xmlns="http://schemas.microsoft.com/office/spreadsheetml/2009/9/main" objectType="CheckBox" checked="Checked" fmlaLink="$I$50" lockText="1" noThreeD="1"/>
</file>

<file path=xl/ctrlProps/ctrlProp34.xml><?xml version="1.0" encoding="utf-8"?>
<formControlPr xmlns="http://schemas.microsoft.com/office/spreadsheetml/2009/9/main" objectType="CheckBox" checked="Checked" fmlaLink="$I$50" lockText="1" noThreeD="1"/>
</file>

<file path=xl/ctrlProps/ctrlProp35.xml><?xml version="1.0" encoding="utf-8"?>
<formControlPr xmlns="http://schemas.microsoft.com/office/spreadsheetml/2009/9/main" objectType="CheckBox" checked="Checked" fmlaLink="$I$51" lockText="1" noThreeD="1"/>
</file>

<file path=xl/ctrlProps/ctrlProp36.xml><?xml version="1.0" encoding="utf-8"?>
<formControlPr xmlns="http://schemas.microsoft.com/office/spreadsheetml/2009/9/main" objectType="CheckBox" checked="Checked" fmlaLink="$I$53" lockText="1" noThreeD="1"/>
</file>

<file path=xl/ctrlProps/ctrlProp37.xml><?xml version="1.0" encoding="utf-8"?>
<formControlPr xmlns="http://schemas.microsoft.com/office/spreadsheetml/2009/9/main" objectType="CheckBox" checked="Checked" fmlaLink="$I$54" lockText="1" noThreeD="1"/>
</file>

<file path=xl/ctrlProps/ctrlProp38.xml><?xml version="1.0" encoding="utf-8"?>
<formControlPr xmlns="http://schemas.microsoft.com/office/spreadsheetml/2009/9/main" objectType="CheckBox" checked="Checked" fmlaLink="$I$56" lockText="1" noThreeD="1"/>
</file>

<file path=xl/ctrlProps/ctrlProp39.xml><?xml version="1.0" encoding="utf-8"?>
<formControlPr xmlns="http://schemas.microsoft.com/office/spreadsheetml/2009/9/main" objectType="CheckBox" checked="Checked" fmlaLink="$I$57" lockText="1" noThreeD="1"/>
</file>

<file path=xl/ctrlProps/ctrlProp40.xml><?xml version="1.0" encoding="utf-8"?>
<formControlPr xmlns="http://schemas.microsoft.com/office/spreadsheetml/2009/9/main" objectType="CheckBox" checked="Checked" fmlaLink="$I$58" lockText="1" noThreeD="1"/>
</file>

<file path=xl/ctrlProps/ctrlProp41.xml><?xml version="1.0" encoding="utf-8"?>
<formControlPr xmlns="http://schemas.microsoft.com/office/spreadsheetml/2009/9/main" objectType="CheckBox" checked="Checked" fmlaLink="$I$60" lockText="1" noThreeD="1"/>
</file>

<file path=xl/ctrlProps/ctrlProp42.xml><?xml version="1.0" encoding="utf-8"?>
<formControlPr xmlns="http://schemas.microsoft.com/office/spreadsheetml/2009/9/main" objectType="CheckBox" checked="Checked" fmlaLink="$I$61" lockText="1" noThreeD="1"/>
</file>

<file path=xl/ctrlProps/ctrlProp43.xml><?xml version="1.0" encoding="utf-8"?>
<formControlPr xmlns="http://schemas.microsoft.com/office/spreadsheetml/2009/9/main" objectType="CheckBox" checked="Checked" fmlaLink="$I$62" lockText="1" noThreeD="1"/>
</file>

<file path=xl/ctrlProps/ctrlProp44.xml><?xml version="1.0" encoding="utf-8"?>
<formControlPr xmlns="http://schemas.microsoft.com/office/spreadsheetml/2009/9/main" objectType="CheckBox" checked="Checked" fmlaLink="$I$64" lockText="1" noThreeD="1"/>
</file>

<file path=xl/ctrlProps/ctrlProp45.xml><?xml version="1.0" encoding="utf-8"?>
<formControlPr xmlns="http://schemas.microsoft.com/office/spreadsheetml/2009/9/main" objectType="CheckBox" checked="Checked" fmlaLink="$I$65" lockText="1" noThreeD="1"/>
</file>

<file path=xl/ctrlProps/ctrlProp46.xml><?xml version="1.0" encoding="utf-8"?>
<formControlPr xmlns="http://schemas.microsoft.com/office/spreadsheetml/2009/9/main" objectType="CheckBox" checked="Checked" fmlaLink="$I$66" lockText="1" noThreeD="1"/>
</file>

<file path=xl/ctrlProps/ctrlProp47.xml><?xml version="1.0" encoding="utf-8"?>
<formControlPr xmlns="http://schemas.microsoft.com/office/spreadsheetml/2009/9/main" objectType="CheckBox" checked="Checked" fmlaLink="$I$64" lockText="1" noThreeD="1"/>
</file>

<file path=xl/ctrlProps/ctrlProp48.xml><?xml version="1.0" encoding="utf-8"?>
<formControlPr xmlns="http://schemas.microsoft.com/office/spreadsheetml/2009/9/main" objectType="CheckBox" checked="Checked" fmlaLink="$I$68" lockText="1" noThreeD="1"/>
</file>

<file path=xl/ctrlProps/ctrlProp49.xml><?xml version="1.0" encoding="utf-8"?>
<formControlPr xmlns="http://schemas.microsoft.com/office/spreadsheetml/2009/9/main" objectType="CheckBox" checked="Checked" fmlaLink="$I$69" lockText="1" noThreeD="1"/>
</file>

<file path=xl/ctrlProps/ctrlProp50.xml><?xml version="1.0" encoding="utf-8"?>
<formControlPr xmlns="http://schemas.microsoft.com/office/spreadsheetml/2009/9/main" objectType="CheckBox" checked="Checked" fmlaLink="$I$70" lockText="1" noThreeD="1"/>
</file>

<file path=xl/ctrlProps/ctrlProp51.xml><?xml version="1.0" encoding="utf-8"?>
<formControlPr xmlns="http://schemas.microsoft.com/office/spreadsheetml/2009/9/main" objectType="CheckBox" checked="Checked" fmlaLink="$I$71" lockText="1" noThreeD="1"/>
</file>

<file path=xl/ctrlProps/ctrlProp52.xml><?xml version="1.0" encoding="utf-8"?>
<formControlPr xmlns="http://schemas.microsoft.com/office/spreadsheetml/2009/9/main" objectType="CheckBox" checked="Checked" fmlaLink="$I$72" lockText="1" noThreeD="1"/>
</file>

<file path=xl/ctrlProps/ctrlProp53.xml><?xml version="1.0" encoding="utf-8"?>
<formControlPr xmlns="http://schemas.microsoft.com/office/spreadsheetml/2009/9/main" objectType="CheckBox" checked="Checked" fmlaLink="$I$73" lockText="1" noThreeD="1"/>
</file>

<file path=xl/ctrlProps/ctrlProp54.xml><?xml version="1.0" encoding="utf-8"?>
<formControlPr xmlns="http://schemas.microsoft.com/office/spreadsheetml/2009/9/main" objectType="CheckBox" checked="Checked" fmlaLink="$I$74" lockText="1" noThreeD="1"/>
</file>

<file path=xl/ctrlProps/ctrlProp55.xml><?xml version="1.0" encoding="utf-8"?>
<formControlPr xmlns="http://schemas.microsoft.com/office/spreadsheetml/2009/9/main" objectType="CheckBox" checked="Checked" fmlaLink="$I$75" lockText="1" noThreeD="1"/>
</file>

<file path=xl/ctrlProps/ctrlProp56.xml><?xml version="1.0" encoding="utf-8"?>
<formControlPr xmlns="http://schemas.microsoft.com/office/spreadsheetml/2009/9/main" objectType="CheckBox" checked="Checked" fmlaLink="$I$76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fmlaLink="$I$55" lockText="1" noThreeD="1"/>
</file>

<file path=xl/ctrlProps/ctrlProp69.xml><?xml version="1.0" encoding="utf-8"?>
<formControlPr xmlns="http://schemas.microsoft.com/office/spreadsheetml/2009/9/main" objectType="CheckBox" checked="Checked" fmlaLink="$I$8" lockText="1" noThreeD="1"/>
</file>

<file path=xl/ctrlProps/ctrlProp70.xml><?xml version="1.0" encoding="utf-8"?>
<formControlPr xmlns="http://schemas.microsoft.com/office/spreadsheetml/2009/9/main" objectType="CheckBox" checked="Checked" fmlaLink="$I$27" lockText="1" noThreeD="1"/>
</file>

<file path=xl/ctrlProps/ctrlProp71.xml><?xml version="1.0" encoding="utf-8"?>
<formControlPr xmlns="http://schemas.microsoft.com/office/spreadsheetml/2009/9/main" objectType="CheckBox" checked="Checked" fmlaLink="$I$34" lockText="1" noThreeD="1"/>
</file>

<file path=xl/ctrlProps/ctrlProp72.xml><?xml version="1.0" encoding="utf-8"?>
<formControlPr xmlns="http://schemas.microsoft.com/office/spreadsheetml/2009/9/main" objectType="CheckBox" checked="Checked" fmlaLink="$I$41" lockText="1" noThreeD="1"/>
</file>

<file path=xl/ctrlProps/ctrlProp73.xml><?xml version="1.0" encoding="utf-8"?>
<formControlPr xmlns="http://schemas.microsoft.com/office/spreadsheetml/2009/9/main" objectType="CheckBox" checked="Checked" fmlaLink="$I$21" lockText="1" noThreeD="1"/>
</file>

<file path=xl/ctrlProps/ctrlProp74.xml><?xml version="1.0" encoding="utf-8"?>
<formControlPr xmlns="http://schemas.microsoft.com/office/spreadsheetml/2009/9/main" objectType="CheckBox" checked="Checked" fmlaLink="$I$39" lockText="1" noThreeD="1"/>
</file>

<file path=xl/ctrlProps/ctrlProp75.xml><?xml version="1.0" encoding="utf-8"?>
<formControlPr xmlns="http://schemas.microsoft.com/office/spreadsheetml/2009/9/main" objectType="CheckBox" checked="Checked" fmlaLink="$I$77" lockText="1" noThreeD="1"/>
</file>

<file path=xl/ctrlProps/ctrlProp76.xml><?xml version="1.0" encoding="utf-8"?>
<formControlPr xmlns="http://schemas.microsoft.com/office/spreadsheetml/2009/9/main" objectType="CheckBox" checked="Checked" fmlaLink="$I$67" lockText="1" noThreeD="1"/>
</file>

<file path=xl/ctrlProps/ctrlProp77.xml><?xml version="1.0" encoding="utf-8"?>
<formControlPr xmlns="http://schemas.microsoft.com/office/spreadsheetml/2009/9/main" objectType="CheckBox" checked="Checked" fmlaLink="$I$52" lockText="1" noThreeD="1"/>
</file>

<file path=xl/ctrlProps/ctrlProp78.xml><?xml version="1.0" encoding="utf-8"?>
<formControlPr xmlns="http://schemas.microsoft.com/office/spreadsheetml/2009/9/main" objectType="CheckBox" checked="Checked" fmlaLink="$I$49" lockText="1" noThreeD="1"/>
</file>

<file path=xl/ctrlProps/ctrlProp79.xml><?xml version="1.0" encoding="utf-8"?>
<formControlPr xmlns="http://schemas.microsoft.com/office/spreadsheetml/2009/9/main" objectType="CheckBox" checked="Checked" fmlaLink="$I$78" lockText="1" noThreeD="1"/>
</file>

<file path=xl/ctrlProps/ctrlProp80.xml><?xml version="1.0" encoding="utf-8"?>
<formControlPr xmlns="http://schemas.microsoft.com/office/spreadsheetml/2009/9/main" objectType="CheckBox" checked="Checked" fmlaLink="$I$80" lockText="1" noThreeD="1"/>
</file>

<file path=xl/ctrlProps/ctrlProp81.xml><?xml version="1.0" encoding="utf-8"?>
<formControlPr xmlns="http://schemas.microsoft.com/office/spreadsheetml/2009/9/main" objectType="CheckBox" checked="Checked" fmlaLink="$I$79" lockText="1" noThreeD="1"/>
</file>

<file path=xl/ctrlProps/ctrlProp82.xml><?xml version="1.0" encoding="utf-8"?>
<formControlPr xmlns="http://schemas.microsoft.com/office/spreadsheetml/2009/9/main" objectType="CheckBox" checked="Checked" fmlaLink="$I$81" lockText="1" noThreeD="1"/>
</file>

<file path=xl/ctrlProps/ctrlProp83.xml><?xml version="1.0" encoding="utf-8"?>
<formControlPr xmlns="http://schemas.microsoft.com/office/spreadsheetml/2009/9/main" objectType="CheckBox" checked="Checked" fmlaLink="$I$47" lockText="1" noThreeD="1"/>
</file>

<file path=xl/ctrlProps/ctrlProp84.xml><?xml version="1.0" encoding="utf-8"?>
<formControlPr xmlns="http://schemas.microsoft.com/office/spreadsheetml/2009/9/main" objectType="CheckBox" fmlaLink="#REF!" lockText="1" noThreeD="1"/>
</file>

<file path=xl/ctrlProps/ctrlProp85.xml><?xml version="1.0" encoding="utf-8"?>
<formControlPr xmlns="http://schemas.microsoft.com/office/spreadsheetml/2009/9/main" objectType="CheckBox" checked="Checked" fmlaLink="$I$27" lockText="1" noThreeD="1"/>
</file>

<file path=xl/ctrlProps/ctrlProp86.xml><?xml version="1.0" encoding="utf-8"?>
<formControlPr xmlns="http://schemas.microsoft.com/office/spreadsheetml/2009/9/main" objectType="CheckBox" checked="Checked" fmlaLink="$I$30" lockText="1" noThreeD="1"/>
</file>

<file path=xl/ctrlProps/ctrlProp87.xml><?xml version="1.0" encoding="utf-8"?>
<formControlPr xmlns="http://schemas.microsoft.com/office/spreadsheetml/2009/9/main" objectType="CheckBox" checked="Checked" fmlaLink="$I$31" lockText="1" noThreeD="1"/>
</file>

<file path=xl/ctrlProps/ctrlProp88.xml><?xml version="1.0" encoding="utf-8"?>
<formControlPr xmlns="http://schemas.microsoft.com/office/spreadsheetml/2009/9/main" objectType="CheckBox" checked="Checked" fmlaLink="$I$32" lockText="1" noThreeD="1"/>
</file>

<file path=xl/ctrlProps/ctrlProp89.xml><?xml version="1.0" encoding="utf-8"?>
<formControlPr xmlns="http://schemas.microsoft.com/office/spreadsheetml/2009/9/main" objectType="CheckBox" checked="Checked" fmlaLink="$I$33" lockText="1" noThreeD="1"/>
</file>

<file path=xl/ctrlProps/ctrlProp90.xml><?xml version="1.0" encoding="utf-8"?>
<formControlPr xmlns="http://schemas.microsoft.com/office/spreadsheetml/2009/9/main" objectType="CheckBox" checked="Checked" fmlaLink="$I$34" lockText="1" noThreeD="1"/>
</file>

<file path=xl/ctrlProps/ctrlProp91.xml><?xml version="1.0" encoding="utf-8"?>
<formControlPr xmlns="http://schemas.microsoft.com/office/spreadsheetml/2009/9/main" objectType="CheckBox" checked="Checked" fmlaLink="$I$35" lockText="1" noThreeD="1"/>
</file>

<file path=xl/ctrlProps/ctrlProp92.xml><?xml version="1.0" encoding="utf-8"?>
<formControlPr xmlns="http://schemas.microsoft.com/office/spreadsheetml/2009/9/main" objectType="CheckBox" checked="Checked" fmlaLink="$I$36" lockText="1" noThreeD="1"/>
</file>

<file path=xl/ctrlProps/ctrlProp93.xml><?xml version="1.0" encoding="utf-8"?>
<formControlPr xmlns="http://schemas.microsoft.com/office/spreadsheetml/2009/9/main" objectType="CheckBox" checked="Checked" fmlaLink="$I$37" lockText="1" noThreeD="1"/>
</file>

<file path=xl/ctrlProps/ctrlProp94.xml><?xml version="1.0" encoding="utf-8"?>
<formControlPr xmlns="http://schemas.microsoft.com/office/spreadsheetml/2009/9/main" objectType="CheckBox" checked="Checked" fmlaLink="$I$38" lockText="1" noThreeD="1"/>
</file>

<file path=xl/ctrlProps/ctrlProp95.xml><?xml version="1.0" encoding="utf-8"?>
<formControlPr xmlns="http://schemas.microsoft.com/office/spreadsheetml/2009/9/main" objectType="CheckBox" checked="Checked" fmlaLink="$I$40" lockText="1" noThreeD="1"/>
</file>

<file path=xl/ctrlProps/ctrlProp96.xml><?xml version="1.0" encoding="utf-8"?>
<formControlPr xmlns="http://schemas.microsoft.com/office/spreadsheetml/2009/9/main" objectType="CheckBox" checked="Checked" fmlaLink="$I$41" lockText="1" noThreeD="1"/>
</file>

<file path=xl/ctrlProps/ctrlProp97.xml><?xml version="1.0" encoding="utf-8"?>
<formControlPr xmlns="http://schemas.microsoft.com/office/spreadsheetml/2009/9/main" objectType="CheckBox" checked="Checked" fmlaLink="$I$42" lockText="1" noThreeD="1"/>
</file>

<file path=xl/ctrlProps/ctrlProp98.xml><?xml version="1.0" encoding="utf-8"?>
<formControlPr xmlns="http://schemas.microsoft.com/office/spreadsheetml/2009/9/main" objectType="CheckBox" checked="Checked" fmlaLink="$I$43" lockText="1" noThreeD="1"/>
</file>

<file path=xl/ctrlProps/ctrlProp99.xml><?xml version="1.0" encoding="utf-8"?>
<formControlPr xmlns="http://schemas.microsoft.com/office/spreadsheetml/2009/9/main" objectType="CheckBox" checked="Checked" fmlaLink="$I$44" lockText="1" noThreeD="1"/>
</file>

<file path=xl/ctrlProps/ctrlProp100.xml><?xml version="1.0" encoding="utf-8"?>
<formControlPr xmlns="http://schemas.microsoft.com/office/spreadsheetml/2009/9/main" objectType="CheckBox" checked="Checked" fmlaLink="$I$45" lockText="1" noThreeD="1"/>
</file>

<file path=xl/ctrlProps/ctrlProp101.xml><?xml version="1.0" encoding="utf-8"?>
<formControlPr xmlns="http://schemas.microsoft.com/office/spreadsheetml/2009/9/main" objectType="CheckBox" checked="Checked" fmlaLink="$I$46" lockText="1" noThreeD="1"/>
</file>

<file path=xl/ctrlProps/ctrlProp102.xml><?xml version="1.0" encoding="utf-8"?>
<formControlPr xmlns="http://schemas.microsoft.com/office/spreadsheetml/2009/9/main" objectType="CheckBox" checked="Checked" fmlaLink="$I$47" lockText="1" noThreeD="1"/>
</file>

<file path=xl/ctrlProps/ctrlProp103.xml><?xml version="1.0" encoding="utf-8"?>
<formControlPr xmlns="http://schemas.microsoft.com/office/spreadsheetml/2009/9/main" objectType="CheckBox" checked="Checked" fmlaLink="$I$49" lockText="1" noThreeD="1"/>
</file>

<file path=xl/ctrlProps/ctrlProp104.xml><?xml version="1.0" encoding="utf-8"?>
<formControlPr xmlns="http://schemas.microsoft.com/office/spreadsheetml/2009/9/main" objectType="CheckBox" checked="Checked" fmlaLink="$I$50" lockText="1" noThreeD="1"/>
</file>

<file path=xl/ctrlProps/ctrlProp105.xml><?xml version="1.0" encoding="utf-8"?>
<formControlPr xmlns="http://schemas.microsoft.com/office/spreadsheetml/2009/9/main" objectType="CheckBox" checked="Checked" fmlaLink="$I$53" lockText="1" noThreeD="1"/>
</file>

<file path=xl/ctrlProps/ctrlProp106.xml><?xml version="1.0" encoding="utf-8"?>
<formControlPr xmlns="http://schemas.microsoft.com/office/spreadsheetml/2009/9/main" objectType="CheckBox" checked="Checked" fmlaLink="$I$54" lockText="1" noThreeD="1"/>
</file>

<file path=xl/ctrlProps/ctrlProp107.xml><?xml version="1.0" encoding="utf-8"?>
<formControlPr xmlns="http://schemas.microsoft.com/office/spreadsheetml/2009/9/main" objectType="CheckBox" checked="Checked" fmlaLink="$I$56" lockText="1" noThreeD="1"/>
</file>

<file path=xl/ctrlProps/ctrlProp108.xml><?xml version="1.0" encoding="utf-8"?>
<formControlPr xmlns="http://schemas.microsoft.com/office/spreadsheetml/2009/9/main" objectType="CheckBox" checked="Checked" fmlaLink="$I$57" lockText="1" noThreeD="1"/>
</file>

<file path=xl/ctrlProps/ctrlProp109.xml><?xml version="1.0" encoding="utf-8"?>
<formControlPr xmlns="http://schemas.microsoft.com/office/spreadsheetml/2009/9/main" objectType="CheckBox" checked="Checked" fmlaLink="$I$58" lockText="1" noThreeD="1"/>
</file>

<file path=xl/ctrlProps/ctrlProp110.xml><?xml version="1.0" encoding="utf-8"?>
<formControlPr xmlns="http://schemas.microsoft.com/office/spreadsheetml/2009/9/main" objectType="CheckBox" checked="Checked" fmlaLink="$I$60" lockText="1" noThreeD="1"/>
</file>

<file path=xl/ctrlProps/ctrlProp111.xml><?xml version="1.0" encoding="utf-8"?>
<formControlPr xmlns="http://schemas.microsoft.com/office/spreadsheetml/2009/9/main" objectType="CheckBox" checked="Checked" fmlaLink="$I$61" lockText="1" noThreeD="1"/>
</file>

<file path=xl/ctrlProps/ctrlProp112.xml><?xml version="1.0" encoding="utf-8"?>
<formControlPr xmlns="http://schemas.microsoft.com/office/spreadsheetml/2009/9/main" objectType="CheckBox" checked="Checked" fmlaLink="$I$62" lockText="1" noThreeD="1"/>
</file>

<file path=xl/ctrlProps/ctrlProp113.xml><?xml version="1.0" encoding="utf-8"?>
<formControlPr xmlns="http://schemas.microsoft.com/office/spreadsheetml/2009/9/main" objectType="CheckBox" checked="Checked" fmlaLink="$I$64" lockText="1" noThreeD="1"/>
</file>

<file path=xl/ctrlProps/ctrlProp114.xml><?xml version="1.0" encoding="utf-8"?>
<formControlPr xmlns="http://schemas.microsoft.com/office/spreadsheetml/2009/9/main" objectType="CheckBox" checked="Checked" fmlaLink="$I$65" lockText="1" noThreeD="1"/>
</file>

<file path=xl/ctrlProps/ctrlProp115.xml><?xml version="1.0" encoding="utf-8"?>
<formControlPr xmlns="http://schemas.microsoft.com/office/spreadsheetml/2009/9/main" objectType="CheckBox" checked="Checked" fmlaLink="$I$66" lockText="1" noThreeD="1"/>
</file>

<file path=xl/ctrlProps/ctrlProp116.xml><?xml version="1.0" encoding="utf-8"?>
<formControlPr xmlns="http://schemas.microsoft.com/office/spreadsheetml/2009/9/main" objectType="CheckBox" checked="Checked" fmlaLink="$I$68" lockText="1" noThreeD="1"/>
</file>

<file path=xl/ctrlProps/ctrlProp117.xml><?xml version="1.0" encoding="utf-8"?>
<formControlPr xmlns="http://schemas.microsoft.com/office/spreadsheetml/2009/9/main" objectType="CheckBox" checked="Checked" fmlaLink="$I$69" lockText="1" noThreeD="1"/>
</file>

<file path=xl/ctrlProps/ctrlProp118.xml><?xml version="1.0" encoding="utf-8"?>
<formControlPr xmlns="http://schemas.microsoft.com/office/spreadsheetml/2009/9/main" objectType="CheckBox" checked="Checked" fmlaLink="$I$70" lockText="1" noThreeD="1"/>
</file>

<file path=xl/ctrlProps/ctrlProp119.xml><?xml version="1.0" encoding="utf-8"?>
<formControlPr xmlns="http://schemas.microsoft.com/office/spreadsheetml/2009/9/main" objectType="CheckBox" checked="Checked" fmlaLink="$I$71" lockText="1" noThreeD="1"/>
</file>

<file path=xl/ctrlProps/ctrlProp120.xml><?xml version="1.0" encoding="utf-8"?>
<formControlPr xmlns="http://schemas.microsoft.com/office/spreadsheetml/2009/9/main" objectType="CheckBox" checked="Checked" fmlaLink="$I$72" lockText="1" noThreeD="1"/>
</file>

<file path=xl/ctrlProps/ctrlProp121.xml><?xml version="1.0" encoding="utf-8"?>
<formControlPr xmlns="http://schemas.microsoft.com/office/spreadsheetml/2009/9/main" objectType="CheckBox" checked="Checked" fmlaLink="$I$74" lockText="1" noThreeD="1"/>
</file>

<file path=xl/ctrlProps/ctrlProp122.xml><?xml version="1.0" encoding="utf-8"?>
<formControlPr xmlns="http://schemas.microsoft.com/office/spreadsheetml/2009/9/main" objectType="CheckBox" checked="Checked" fmlaLink="$I$75" lockText="1" noThreeD="1"/>
</file>

<file path=xl/ctrlProps/ctrlProp123.xml><?xml version="1.0" encoding="utf-8"?>
<formControlPr xmlns="http://schemas.microsoft.com/office/spreadsheetml/2009/9/main" objectType="CheckBox" checked="Checked" fmlaLink="$I$76" lockText="1" noThreeD="1"/>
</file>

<file path=xl/ctrlProps/ctrlProp124.xml><?xml version="1.0" encoding="utf-8"?>
<formControlPr xmlns="http://schemas.microsoft.com/office/spreadsheetml/2009/9/main" objectType="CheckBox" checked="Checked" fmlaLink="$I$77" lockText="1" noThreeD="1"/>
</file>

<file path=xl/ctrlProps/ctrlProp125.xml><?xml version="1.0" encoding="utf-8"?>
<formControlPr xmlns="http://schemas.microsoft.com/office/spreadsheetml/2009/9/main" objectType="CheckBox" checked="Checked" fmlaLink="$I$78" lockText="1" noThreeD="1"/>
</file>

<file path=xl/ctrlProps/ctrlProp126.xml><?xml version="1.0" encoding="utf-8"?>
<formControlPr xmlns="http://schemas.microsoft.com/office/spreadsheetml/2009/9/main" objectType="CheckBox" checked="Checked" fmlaLink="$I$80" lockText="1" noThreeD="1"/>
</file>

<file path=xl/ctrlProps/ctrlProp127.xml><?xml version="1.0" encoding="utf-8"?>
<formControlPr xmlns="http://schemas.microsoft.com/office/spreadsheetml/2009/9/main" objectType="CheckBox" checked="Checked" fmlaLink="$I$79" lockText="1" noThreeD="1"/>
</file>

<file path=xl/ctrlProps/ctrlProp128.xml><?xml version="1.0" encoding="utf-8"?>
<formControlPr xmlns="http://schemas.microsoft.com/office/spreadsheetml/2009/9/main" objectType="CheckBox" checked="Checked" fmlaLink="$I$81" lockText="1" noThreeD="1"/>
</file>

<file path=xl/ctrlProps/ctrlProp129.xml><?xml version="1.0" encoding="utf-8"?>
<formControlPr xmlns="http://schemas.microsoft.com/office/spreadsheetml/2009/9/main" objectType="CheckBox" checked="Checked" fmlaLink="$I$81" lockText="1" noThreeD="1"/>
</file>

<file path=xl/ctrlProps/ctrlProp130.xml><?xml version="1.0" encoding="utf-8"?>
<formControlPr xmlns="http://schemas.microsoft.com/office/spreadsheetml/2009/9/main" objectType="CheckBox" checked="Checked" fmlaLink="$I$82" lockText="1" noThreeD="1"/>
</file>

<file path=xl/ctrlProps/ctrlProp131.xml><?xml version="1.0" encoding="utf-8"?>
<formControlPr xmlns="http://schemas.microsoft.com/office/spreadsheetml/2009/9/main" objectType="CheckBox" checked="Checked" fmlaLink="$I$81" lockText="1" noThreeD="1"/>
</file>

<file path=xl/ctrlProps/ctrlProp132.xml><?xml version="1.0" encoding="utf-8"?>
<formControlPr xmlns="http://schemas.microsoft.com/office/spreadsheetml/2009/9/main" objectType="CheckBox" checked="Checked" fmlaLink="$I$83" lockText="1" noThreeD="1"/>
</file>

<file path=xl/ctrlProps/ctrlProp133.xml><?xml version="1.0" encoding="utf-8"?>
<formControlPr xmlns="http://schemas.microsoft.com/office/spreadsheetml/2009/9/main" objectType="CheckBox" checked="Checked" fmlaLink="$I$16" lockText="1" noThreeD="1"/>
</file>

<file path=xl/ctrlProps/ctrlProp134.xml><?xml version="1.0" encoding="utf-8"?>
<formControlPr xmlns="http://schemas.microsoft.com/office/spreadsheetml/2009/9/main" objectType="CheckBox" checked="Checked" fmlaLink="$I$17" lockText="1" noThreeD="1"/>
</file>

<file path=xl/ctrlProps/ctrlProp135.xml><?xml version="1.0" encoding="utf-8"?>
<formControlPr xmlns="http://schemas.microsoft.com/office/spreadsheetml/2009/9/main" objectType="CheckBox" checked="Checked" fmlaLink="$I$20" lockText="1" noThreeD="1"/>
</file>

<file path=xl/ctrlProps/ctrlProp136.xml><?xml version="1.0" encoding="utf-8"?>
<formControlPr xmlns="http://schemas.microsoft.com/office/spreadsheetml/2009/9/main" objectType="CheckBox" checked="Checked" fmlaLink="$I$24" lockText="1" noThreeD="1"/>
</file>

<file path=xl/ctrlProps/ctrlProp137.xml><?xml version="1.0" encoding="utf-8"?>
<formControlPr xmlns="http://schemas.microsoft.com/office/spreadsheetml/2009/9/main" objectType="CheckBox" checked="Checked" fmlaLink="$I$27" lockText="1" noThreeD="1"/>
</file>

<file path=xl/ctrlProps/ctrlProp138.xml><?xml version="1.0" encoding="utf-8"?>
<formControlPr xmlns="http://schemas.microsoft.com/office/spreadsheetml/2009/9/main" objectType="CheckBox" checked="Checked" fmlaLink="$I$28" lockText="1" noThreeD="1"/>
</file>

<file path=xl/ctrlProps/ctrlProp139.xml><?xml version="1.0" encoding="utf-8"?>
<formControlPr xmlns="http://schemas.microsoft.com/office/spreadsheetml/2009/9/main" objectType="CheckBox" checked="Checked" fmlaLink="$I$27" lockText="1" noThreeD="1"/>
</file>

<file path=xl/ctrlProps/ctrlProp140.xml><?xml version="1.0" encoding="utf-8"?>
<formControlPr xmlns="http://schemas.microsoft.com/office/spreadsheetml/2009/9/main" objectType="CheckBox" checked="Checked" fmlaLink="$I$29" lockText="1" noThreeD="1"/>
</file>

<file path=xl/ctrlProps/ctrlProp141.xml><?xml version="1.0" encoding="utf-8"?>
<formControlPr xmlns="http://schemas.microsoft.com/office/spreadsheetml/2009/9/main" objectType="CheckBox" checked="Checked" fmlaLink="$I$47" lockText="1" noThreeD="1"/>
</file>

<file path=xl/ctrlProps/ctrlProp142.xml><?xml version="1.0" encoding="utf-8"?>
<formControlPr xmlns="http://schemas.microsoft.com/office/spreadsheetml/2009/9/main" objectType="CheckBox" checked="Checked" fmlaLink="$I$47" lockText="1" noThreeD="1"/>
</file>

<file path=xl/ctrlProps/ctrlProp143.xml><?xml version="1.0" encoding="utf-8"?>
<formControlPr xmlns="http://schemas.microsoft.com/office/spreadsheetml/2009/9/main" objectType="CheckBox" checked="Checked" fmlaLink="$I$47" lockText="1" noThreeD="1"/>
</file>

<file path=xl/ctrlProps/ctrlProp144.xml><?xml version="1.0" encoding="utf-8"?>
<formControlPr xmlns="http://schemas.microsoft.com/office/spreadsheetml/2009/9/main" objectType="CheckBox" checked="Checked" fmlaLink="$I$48" lockText="1" noThreeD="1"/>
</file>

<file path=xl/ctrlProps/ctrlProp145.xml><?xml version="1.0" encoding="utf-8"?>
<formControlPr xmlns="http://schemas.microsoft.com/office/spreadsheetml/2009/9/main" objectType="CheckBox" checked="Checked" fmlaLink="$I$58" lockText="1" noThreeD="1"/>
</file>

<file path=xl/ctrlProps/ctrlProp146.xml><?xml version="1.0" encoding="utf-8"?>
<formControlPr xmlns="http://schemas.microsoft.com/office/spreadsheetml/2009/9/main" objectType="CheckBox" checked="Checked" fmlaLink="$I$59" lockText="1" noThreeD="1"/>
</file>

<file path=xl/ctrlProps/ctrlProp147.xml><?xml version="1.0" encoding="utf-8"?>
<formControlPr xmlns="http://schemas.microsoft.com/office/spreadsheetml/2009/9/main" objectType="CheckBox" checked="Checked" fmlaLink="$I$62" lockText="1" noThreeD="1"/>
</file>

<file path=xl/ctrlProps/ctrlProp148.xml><?xml version="1.0" encoding="utf-8"?>
<formControlPr xmlns="http://schemas.microsoft.com/office/spreadsheetml/2009/9/main" objectType="CheckBox" checked="Checked" fmlaLink="$I$63" lockText="1" noThreeD="1"/>
</file>

<file path=xl/ctrlProps/ctrlProp149.xml><?xml version="1.0" encoding="utf-8"?>
<formControlPr xmlns="http://schemas.microsoft.com/office/spreadsheetml/2009/9/main" objectType="CheckBox" checked="Checked" fmlaLink="$I$83" lockText="1" noThreeD="1"/>
</file>

<file path=xl/ctrlProps/ctrlProp150.xml><?xml version="1.0" encoding="utf-8"?>
<formControlPr xmlns="http://schemas.microsoft.com/office/spreadsheetml/2009/9/main" objectType="CheckBox" checked="Checked" fmlaLink="$I$83" lockText="1" noThreeD="1"/>
</file>

<file path=xl/ctrlProps/ctrlProp151.xml><?xml version="1.0" encoding="utf-8"?>
<formControlPr xmlns="http://schemas.microsoft.com/office/spreadsheetml/2009/9/main" objectType="CheckBox" checked="Checked" fmlaLink="$I$83" lockText="1" noThreeD="1"/>
</file>

<file path=xl/ctrlProps/ctrlProp152.xml><?xml version="1.0" encoding="utf-8"?>
<formControlPr xmlns="http://schemas.microsoft.com/office/spreadsheetml/2009/9/main" objectType="CheckBox" checked="Checked" fmlaLink="$I$83" lockText="1" noThreeD="1"/>
</file>

<file path=xl/ctrlProps/ctrlProp153.xml><?xml version="1.0" encoding="utf-8"?>
<formControlPr xmlns="http://schemas.microsoft.com/office/spreadsheetml/2009/9/main" objectType="CheckBox" checked="Checked" fmlaLink="$I$83" lockText="1" noThreeD="1"/>
</file>

<file path=xl/ctrlProps/ctrlProp154.xml><?xml version="1.0" encoding="utf-8"?>
<formControlPr xmlns="http://schemas.microsoft.com/office/spreadsheetml/2009/9/main" objectType="CheckBox" checked="Checked" fmlaLink="$I$83" lockText="1" noThreeD="1"/>
</file>

<file path=xl/ctrlProps/ctrlProp155.xml><?xml version="1.0" encoding="utf-8"?>
<formControlPr xmlns="http://schemas.microsoft.com/office/spreadsheetml/2009/9/main" objectType="CheckBox" checked="Checked" fmlaLink="$I$4" lockText="1" noThreeD="1"/>
</file>

<file path=xl/ctrlProps/ctrlProp156.xml><?xml version="1.0" encoding="utf-8"?>
<formControlPr xmlns="http://schemas.microsoft.com/office/spreadsheetml/2009/9/main" objectType="CheckBox" checked="Checked" fmlaLink="$I$81" lockText="1" noThreeD="1"/>
</file>

<file path=xl/ctrlProps/ctrlProp157.xml><?xml version="1.0" encoding="utf-8"?>
<formControlPr xmlns="http://schemas.microsoft.com/office/spreadsheetml/2009/9/main" objectType="CheckBox" checked="Checked" fmlaLink="$I$84" lockText="1" noThreeD="1"/>
</file>

<file path=xl/ctrlProps/ctrlProp158.xml><?xml version="1.0" encoding="utf-8"?>
<formControlPr xmlns="http://schemas.microsoft.com/office/spreadsheetml/2009/9/main" objectType="CheckBox" checked="Checked" fmlaLink="$I$81" lockText="1" noThreeD="1"/>
</file>

<file path=xl/ctrlProps/ctrlProp159.xml><?xml version="1.0" encoding="utf-8"?>
<formControlPr xmlns="http://schemas.microsoft.com/office/spreadsheetml/2009/9/main" objectType="CheckBox" checked="Checked" fmlaLink="$I$85" lockText="1" noThreeD="1"/>
</file>

<file path=xl/ctrlProps/ctrlProp160.xml><?xml version="1.0" encoding="utf-8"?>
<formControlPr xmlns="http://schemas.microsoft.com/office/spreadsheetml/2009/9/main" objectType="CheckBox" checked="Checked" fmlaLink="$I$81" lockText="1" noThreeD="1"/>
</file>

<file path=xl/ctrlProps/ctrlProp161.xml><?xml version="1.0" encoding="utf-8"?>
<formControlPr xmlns="http://schemas.microsoft.com/office/spreadsheetml/2009/9/main" objectType="CheckBox" checked="Checked" fmlaLink="$I$86" lockText="1" noThreeD="1"/>
</file>

<file path=xl/ctrlProps/ctrlProp162.xml><?xml version="1.0" encoding="utf-8"?>
<formControlPr xmlns="http://schemas.microsoft.com/office/spreadsheetml/2009/9/main" objectType="CheckBox" checked="Checked" fmlaLink="$I$81" lockText="1" noThreeD="1"/>
</file>

<file path=xl/ctrlProps/ctrlProp163.xml><?xml version="1.0" encoding="utf-8"?>
<formControlPr xmlns="http://schemas.microsoft.com/office/spreadsheetml/2009/9/main" objectType="CheckBox" checked="Checked" fmlaLink="$I$87" lockText="1" noThreeD="1"/>
</file>

<file path=xl/ctrlProps/ctrlProp164.xml><?xml version="1.0" encoding="utf-8"?>
<formControlPr xmlns="http://schemas.microsoft.com/office/spreadsheetml/2009/9/main" objectType="CheckBox" checked="Checked" fmlaLink="$I$81" lockText="1" noThreeD="1"/>
</file>

<file path=xl/ctrlProps/ctrlProp165.xml><?xml version="1.0" encoding="utf-8"?>
<formControlPr xmlns="http://schemas.microsoft.com/office/spreadsheetml/2009/9/main" objectType="CheckBox" checked="Checked" fmlaLink="$I$88" lockText="1" noThreeD="1"/>
</file>

<file path=xl/ctrlProps/ctrlProp166.xml><?xml version="1.0" encoding="utf-8"?>
<formControlPr xmlns="http://schemas.microsoft.com/office/spreadsheetml/2009/9/main" objectType="CheckBox" checked="Checked" fmlaLink="$I$81" lockText="1" noThreeD="1"/>
</file>

<file path=xl/ctrlProps/ctrlProp167.xml><?xml version="1.0" encoding="utf-8"?>
<formControlPr xmlns="http://schemas.microsoft.com/office/spreadsheetml/2009/9/main" objectType="CheckBox" checked="Checked" fmlaLink="$I$89" lockText="1" noThreeD="1"/>
</file>

<file path=xl/ctrlProps/ctrlProp168.xml><?xml version="1.0" encoding="utf-8"?>
<formControlPr xmlns="http://schemas.microsoft.com/office/spreadsheetml/2009/9/main" objectType="CheckBox" checked="Checked" fmlaLink="$I$44" lockText="1" noThreeD="1"/>
</file>

<file path=xl/ctrlProps/ctrlProp169.xml><?xml version="1.0" encoding="utf-8"?>
<formControlPr xmlns="http://schemas.microsoft.com/office/spreadsheetml/2009/9/main" objectType="CheckBox" checked="Checked" fmlaLink="$I$44" lockText="1" noThreeD="1"/>
</file>

<file path=xl/ctrlProps/ctrlProp170.xml><?xml version="1.0" encoding="utf-8"?>
<formControlPr xmlns="http://schemas.microsoft.com/office/spreadsheetml/2009/9/main" objectType="CheckBox" checked="Checked" fmlaLink="$I$83" lockText="1" noThreeD="1"/>
</file>

<file path=xl/ctrlProps/ctrlProp171.xml><?xml version="1.0" encoding="utf-8"?>
<formControlPr xmlns="http://schemas.microsoft.com/office/spreadsheetml/2009/9/main" objectType="CheckBox" checked="Checked" fmlaLink="$I$81" lockText="1" noThreeD="1"/>
</file>

<file path=xl/ctrlProps/ctrlProp172.xml><?xml version="1.0" encoding="utf-8"?>
<formControlPr xmlns="http://schemas.microsoft.com/office/spreadsheetml/2009/9/main" objectType="CheckBox" checked="Checked" fmlaLink="$I$85" lockText="1" noThreeD="1"/>
</file>

<file path=xl/ctrlProps/ctrlProp173.xml><?xml version="1.0" encoding="utf-8"?>
<formControlPr xmlns="http://schemas.microsoft.com/office/spreadsheetml/2009/9/main" objectType="CheckBox" checked="Checked" fmlaLink="$I$25" lockText="1" noThreeD="1"/>
</file>

<file path=xl/ctrlProps/ctrlProp174.xml><?xml version="1.0" encoding="utf-8"?>
<formControlPr xmlns="http://schemas.microsoft.com/office/spreadsheetml/2009/9/main" objectType="CheckBox" checked="Checked" fmlaLink="$I$32" lockText="1" noThreeD="1"/>
</file>

<file path=xl/ctrlProps/ctrlProp175.xml><?xml version="1.0" encoding="utf-8"?>
<formControlPr xmlns="http://schemas.microsoft.com/office/spreadsheetml/2009/9/main" objectType="CheckBox" checked="Checked" fmlaLink="$I$33" lockText="1" noThreeD="1"/>
</file>

<file path=xl/ctrlProps/ctrlProp176.xml><?xml version="1.0" encoding="utf-8"?>
<formControlPr xmlns="http://schemas.microsoft.com/office/spreadsheetml/2009/9/main" objectType="CheckBox" checked="Checked" fmlaLink="$I$32" lockText="1" noThreeD="1"/>
</file>

<file path=xl/ctrlProps/ctrlProp177.xml><?xml version="1.0" encoding="utf-8"?>
<formControlPr xmlns="http://schemas.microsoft.com/office/spreadsheetml/2009/9/main" objectType="CheckBox" checked="Checked" fmlaLink="$I$34" lockText="1" noThreeD="1"/>
</file>

<file path=xl/ctrlProps/ctrlProp178.xml><?xml version="1.0" encoding="utf-8"?>
<formControlPr xmlns="http://schemas.microsoft.com/office/spreadsheetml/2009/9/main" objectType="CheckBox" checked="Checked" fmlaLink="$I$44" lockText="1" noThreeD="1"/>
</file>

<file path=xl/ctrlProps/ctrlProp179.xml><?xml version="1.0" encoding="utf-8"?>
<formControlPr xmlns="http://schemas.microsoft.com/office/spreadsheetml/2009/9/main" objectType="CheckBox" checked="Checked" fmlaLink="$I$41" lockText="1" noThreeD="1"/>
</file>

<file path=xl/ctrlProps/ctrlProp180.xml><?xml version="1.0" encoding="utf-8"?>
<formControlPr xmlns="http://schemas.microsoft.com/office/spreadsheetml/2009/9/main" objectType="CheckBox" checked="Checked" fmlaLink="$I$42" lockText="1" noThreeD="1"/>
</file>

<file path=xl/ctrlProps/ctrlProp181.xml><?xml version="1.0" encoding="utf-8"?>
<formControlPr xmlns="http://schemas.microsoft.com/office/spreadsheetml/2009/9/main" objectType="CheckBox" checked="Checked" fmlaLink="$I$43" lockText="1" noThreeD="1"/>
</file>

<file path=xl/ctrlProps/ctrlProp182.xml><?xml version="1.0" encoding="utf-8"?>
<formControlPr xmlns="http://schemas.microsoft.com/office/spreadsheetml/2009/9/main" objectType="CheckBox" checked="Checked" fmlaLink="$I$53" lockText="1" noThreeD="1"/>
</file>

<file path=xl/ctrlProps/ctrlProp183.xml><?xml version="1.0" encoding="utf-8"?>
<formControlPr xmlns="http://schemas.microsoft.com/office/spreadsheetml/2009/9/main" objectType="CheckBox" checked="Checked" fmlaLink="$I$54" lockText="1" noThreeD="1"/>
</file>

<file path=xl/ctrlProps/ctrlProp184.xml><?xml version="1.0" encoding="utf-8"?>
<formControlPr xmlns="http://schemas.microsoft.com/office/spreadsheetml/2009/9/main" objectType="CheckBox" checked="Checked" fmlaLink="$I$62" lockText="1" noThreeD="1"/>
</file>

<file path=xl/ctrlProps/ctrlProp185.xml><?xml version="1.0" encoding="utf-8"?>
<formControlPr xmlns="http://schemas.microsoft.com/office/spreadsheetml/2009/9/main" objectType="CheckBox" checked="Checked" fmlaLink="$I$64" lockText="1" noThreeD="1"/>
</file>

<file path=xl/ctrlProps/ctrlProp186.xml><?xml version="1.0" encoding="utf-8"?>
<formControlPr xmlns="http://schemas.microsoft.com/office/spreadsheetml/2009/9/main" objectType="CheckBox" checked="Checked" fmlaLink="$I$62" lockText="1" noThreeD="1"/>
</file>

<file path=xl/ctrlProps/ctrlProp187.xml><?xml version="1.0" encoding="utf-8"?>
<formControlPr xmlns="http://schemas.microsoft.com/office/spreadsheetml/2009/9/main" objectType="CheckBox" checked="Checked" fmlaLink="$I$65" lockText="1" noThreeD="1"/>
</file>

<file path=xl/ctrlProps/ctrlProp188.xml><?xml version="1.0" encoding="utf-8"?>
<formControlPr xmlns="http://schemas.microsoft.com/office/spreadsheetml/2009/9/main" objectType="CheckBox" checked="Checked" fmlaLink="$I$62" lockText="1" noThreeD="1"/>
</file>

<file path=xl/ctrlProps/ctrlProp189.xml><?xml version="1.0" encoding="utf-8"?>
<formControlPr xmlns="http://schemas.microsoft.com/office/spreadsheetml/2009/9/main" objectType="CheckBox" checked="Checked" fmlaLink="$I$66" lockText="1" noThreeD="1"/>
</file>

<file path=xl/ctrlProps/ctrlProp190.xml><?xml version="1.0" encoding="utf-8"?>
<formControlPr xmlns="http://schemas.microsoft.com/office/spreadsheetml/2009/9/main" objectType="CheckBox" checked="Checked" fmlaLink="$I$74" lockText="1" noThreeD="1"/>
</file>

<file path=xl/ctrlProps/ctrlProp191.xml><?xml version="1.0" encoding="utf-8"?>
<formControlPr xmlns="http://schemas.microsoft.com/office/spreadsheetml/2009/9/main" objectType="CheckBox" checked="Checked" fmlaLink="$I$75" lockText="1" noThreeD="1"/>
</file>

<file path=xl/ctrlProps/ctrlProp192.xml><?xml version="1.0" encoding="utf-8"?>
<formControlPr xmlns="http://schemas.microsoft.com/office/spreadsheetml/2009/9/main" objectType="CheckBox" checked="Checked" fmlaLink="$I$76" lockText="1" noThreeD="1"/>
</file>

<file path=xl/ctrlProps/ctrlProp193.xml><?xml version="1.0" encoding="utf-8"?>
<formControlPr xmlns="http://schemas.microsoft.com/office/spreadsheetml/2009/9/main" objectType="CheckBox" checked="Checked" fmlaLink="$I$77" lockText="1" noThreeD="1"/>
</file>

<file path=xl/ctrlProps/ctrlProp194.xml><?xml version="1.0" encoding="utf-8"?>
<formControlPr xmlns="http://schemas.microsoft.com/office/spreadsheetml/2009/9/main" objectType="CheckBox" checked="Checked" fmlaLink="$I$78" lockText="1" noThreeD="1"/>
</file>

<file path=xl/ctrlProps/ctrlProp195.xml><?xml version="1.0" encoding="utf-8"?>
<formControlPr xmlns="http://schemas.microsoft.com/office/spreadsheetml/2009/9/main" objectType="CheckBox" checked="Checked" fmlaLink="$I$12" lockText="1" noThreeD="1"/>
</file>

<file path=xl/ctrlProps/ctrlProp196.xml><?xml version="1.0" encoding="utf-8"?>
<formControlPr xmlns="http://schemas.microsoft.com/office/spreadsheetml/2009/9/main" objectType="CheckBox" checked="Checked" fmlaLink="$I$13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fmlaLink="$D$12" lockText="1" noThreeD="1"/>
</file>

<file path=xl/ctrlProps/ctrlProp199.xml><?xml version="1.0" encoding="utf-8"?>
<formControlPr xmlns="http://schemas.microsoft.com/office/spreadsheetml/2009/9/main" objectType="CheckBox" fmlaLink="$D$13" lockText="1" noThreeD="1"/>
</file>

<file path=xl/ctrlProps/ctrlProp200.xml><?xml version="1.0" encoding="utf-8"?>
<formControlPr xmlns="http://schemas.microsoft.com/office/spreadsheetml/2009/9/main" objectType="CheckBox" fmlaLink="$D$14" lockText="1" noThreeD="1"/>
</file>

<file path=xl/ctrlProps/ctrlProp201.xml><?xml version="1.0" encoding="utf-8"?>
<formControlPr xmlns="http://schemas.microsoft.com/office/spreadsheetml/2009/9/main" objectType="CheckBox" fmlaLink="$D$15" lockText="1" noThreeD="1"/>
</file>

<file path=xl/ctrlProps/ctrlProp202.xml><?xml version="1.0" encoding="utf-8"?>
<formControlPr xmlns="http://schemas.microsoft.com/office/spreadsheetml/2009/9/main" objectType="CheckBox" fmlaLink="$D$16" lockText="1" noThreeD="1"/>
</file>

<file path=xl/ctrlProps/ctrlProp203.xml><?xml version="1.0" encoding="utf-8"?>
<formControlPr xmlns="http://schemas.microsoft.com/office/spreadsheetml/2009/9/main" objectType="CheckBox" fmlaLink="$D$22" lockText="1" noThreeD="1"/>
</file>

<file path=xl/ctrlProps/ctrlProp204.xml><?xml version="1.0" encoding="utf-8"?>
<formControlPr xmlns="http://schemas.microsoft.com/office/spreadsheetml/2009/9/main" objectType="CheckBox" fmlaLink="$D$23" lockText="1" noThreeD="1"/>
</file>

<file path=xl/ctrlProps/ctrlProp205.xml><?xml version="1.0" encoding="utf-8"?>
<formControlPr xmlns="http://schemas.microsoft.com/office/spreadsheetml/2009/9/main" objectType="CheckBox" fmlaLink="$D$18" lockText="1" noThreeD="1"/>
</file>

<file path=xl/ctrlProps/ctrlProp206.xml><?xml version="1.0" encoding="utf-8"?>
<formControlPr xmlns="http://schemas.microsoft.com/office/spreadsheetml/2009/9/main" objectType="CheckBox" fmlaLink="$D$19" lockText="1" noThreeD="1"/>
</file>

<file path=xl/ctrlProps/ctrlProp207.xml><?xml version="1.0" encoding="utf-8"?>
<formControlPr xmlns="http://schemas.microsoft.com/office/spreadsheetml/2009/9/main" objectType="CheckBox" fmlaLink="#REF!" lockText="1" noThreeD="1"/>
</file>

<file path=xl/ctrlProps/ctrlProp208.xml><?xml version="1.0" encoding="utf-8"?>
<formControlPr xmlns="http://schemas.microsoft.com/office/spreadsheetml/2009/9/main" objectType="CheckBox" fmlaLink="$D$25" lockText="1" noThreeD="1"/>
</file>

<file path=xl/ctrlProps/ctrlProp209.xml><?xml version="1.0" encoding="utf-8"?>
<formControlPr xmlns="http://schemas.microsoft.com/office/spreadsheetml/2009/9/main" objectType="CheckBox" fmlaLink="$D$26" lockText="1" noThreeD="1"/>
</file>

<file path=xl/ctrlProps/ctrlProp210.xml><?xml version="1.0" encoding="utf-8"?>
<formControlPr xmlns="http://schemas.microsoft.com/office/spreadsheetml/2009/9/main" objectType="CheckBox" fmlaLink="#REF!" lockText="1" noThreeD="1"/>
</file>

<file path=xl/ctrlProps/ctrlProp211.xml><?xml version="1.0" encoding="utf-8"?>
<formControlPr xmlns="http://schemas.microsoft.com/office/spreadsheetml/2009/9/main" objectType="CheckBox" fmlaLink="$D$30" lockText="1" noThreeD="1"/>
</file>

<file path=xl/ctrlProps/ctrlProp212.xml><?xml version="1.0" encoding="utf-8"?>
<formControlPr xmlns="http://schemas.microsoft.com/office/spreadsheetml/2009/9/main" objectType="CheckBox" fmlaLink="$D$31" lockText="1" noThreeD="1"/>
</file>

<file path=xl/ctrlProps/ctrlProp213.xml><?xml version="1.0" encoding="utf-8"?>
<formControlPr xmlns="http://schemas.microsoft.com/office/spreadsheetml/2009/9/main" objectType="CheckBox" fmlaLink="$D$32" lockText="1" noThreeD="1"/>
</file>

<file path=xl/ctrlProps/ctrlProp214.xml><?xml version="1.0" encoding="utf-8"?>
<formControlPr xmlns="http://schemas.microsoft.com/office/spreadsheetml/2009/9/main" objectType="CheckBox" fmlaLink="$D$33" lockText="1" noThreeD="1"/>
</file>

<file path=xl/ctrlProps/ctrlProp215.xml><?xml version="1.0" encoding="utf-8"?>
<formControlPr xmlns="http://schemas.microsoft.com/office/spreadsheetml/2009/9/main" objectType="CheckBox" fmlaLink="$D$35" lockText="1" noThreeD="1"/>
</file>

<file path=xl/ctrlProps/ctrlProp216.xml><?xml version="1.0" encoding="utf-8"?>
<formControlPr xmlns="http://schemas.microsoft.com/office/spreadsheetml/2009/9/main" objectType="CheckBox" fmlaLink="$D$36" lockText="1" noThreeD="1"/>
</file>

<file path=xl/ctrlProps/ctrlProp217.xml><?xml version="1.0" encoding="utf-8"?>
<formControlPr xmlns="http://schemas.microsoft.com/office/spreadsheetml/2009/9/main" objectType="CheckBox" fmlaLink="$D$37" lockText="1" noThreeD="1"/>
</file>

<file path=xl/ctrlProps/ctrlProp218.xml><?xml version="1.0" encoding="utf-8"?>
<formControlPr xmlns="http://schemas.microsoft.com/office/spreadsheetml/2009/9/main" objectType="CheckBox" fmlaLink="$D$38" lockText="1" noThreeD="1"/>
</file>

<file path=xl/ctrlProps/ctrlProp219.xml><?xml version="1.0" encoding="utf-8"?>
<formControlPr xmlns="http://schemas.microsoft.com/office/spreadsheetml/2009/9/main" objectType="CheckBox" fmlaLink="$D$40" lockText="1" noThreeD="1"/>
</file>

<file path=xl/ctrlProps/ctrlProp220.xml><?xml version="1.0" encoding="utf-8"?>
<formControlPr xmlns="http://schemas.microsoft.com/office/spreadsheetml/2009/9/main" objectType="CheckBox" fmlaLink="$D$42" lockText="1" noThreeD="1"/>
</file>

<file path=xl/ctrlProps/ctrlProp221.xml><?xml version="1.0" encoding="utf-8"?>
<formControlPr xmlns="http://schemas.microsoft.com/office/spreadsheetml/2009/9/main" objectType="CheckBox" fmlaLink="$D$43" lockText="1" noThreeD="1"/>
</file>

<file path=xl/ctrlProps/ctrlProp222.xml><?xml version="1.0" encoding="utf-8"?>
<formControlPr xmlns="http://schemas.microsoft.com/office/spreadsheetml/2009/9/main" objectType="CheckBox" fmlaLink="$D$44" lockText="1" noThreeD="1"/>
</file>

<file path=xl/ctrlProps/ctrlProp223.xml><?xml version="1.0" encoding="utf-8"?>
<formControlPr xmlns="http://schemas.microsoft.com/office/spreadsheetml/2009/9/main" objectType="CheckBox" fmlaLink="$D$45" lockText="1" noThreeD="1"/>
</file>

<file path=xl/ctrlProps/ctrlProp224.xml><?xml version="1.0" encoding="utf-8"?>
<formControlPr xmlns="http://schemas.microsoft.com/office/spreadsheetml/2009/9/main" objectType="CheckBox" fmlaLink="$D$46" lockText="1" noThreeD="1"/>
</file>

<file path=xl/ctrlProps/ctrlProp225.xml><?xml version="1.0" encoding="utf-8"?>
<formControlPr xmlns="http://schemas.microsoft.com/office/spreadsheetml/2009/9/main" objectType="CheckBox" fmlaLink="$D$50" lockText="1" noThreeD="1"/>
</file>

<file path=xl/ctrlProps/ctrlProp226.xml><?xml version="1.0" encoding="utf-8"?>
<formControlPr xmlns="http://schemas.microsoft.com/office/spreadsheetml/2009/9/main" objectType="CheckBox" fmlaLink="$D$50" lockText="1" noThreeD="1"/>
</file>

<file path=xl/ctrlProps/ctrlProp227.xml><?xml version="1.0" encoding="utf-8"?>
<formControlPr xmlns="http://schemas.microsoft.com/office/spreadsheetml/2009/9/main" objectType="CheckBox" fmlaLink="$D$51" lockText="1" noThreeD="1"/>
</file>

<file path=xl/ctrlProps/ctrlProp228.xml><?xml version="1.0" encoding="utf-8"?>
<formControlPr xmlns="http://schemas.microsoft.com/office/spreadsheetml/2009/9/main" objectType="CheckBox" fmlaLink="$D$53" lockText="1" noThreeD="1"/>
</file>

<file path=xl/ctrlProps/ctrlProp229.xml><?xml version="1.0" encoding="utf-8"?>
<formControlPr xmlns="http://schemas.microsoft.com/office/spreadsheetml/2009/9/main" objectType="CheckBox" fmlaLink="$D$54" lockText="1" noThreeD="1"/>
</file>

<file path=xl/ctrlProps/ctrlProp230.xml><?xml version="1.0" encoding="utf-8"?>
<formControlPr xmlns="http://schemas.microsoft.com/office/spreadsheetml/2009/9/main" objectType="CheckBox" fmlaLink="$D$56" lockText="1" noThreeD="1"/>
</file>

<file path=xl/ctrlProps/ctrlProp231.xml><?xml version="1.0" encoding="utf-8"?>
<formControlPr xmlns="http://schemas.microsoft.com/office/spreadsheetml/2009/9/main" objectType="CheckBox" fmlaLink="$D$57" lockText="1" noThreeD="1"/>
</file>

<file path=xl/ctrlProps/ctrlProp232.xml><?xml version="1.0" encoding="utf-8"?>
<formControlPr xmlns="http://schemas.microsoft.com/office/spreadsheetml/2009/9/main" objectType="CheckBox" fmlaLink="$D$58" lockText="1" noThreeD="1"/>
</file>

<file path=xl/ctrlProps/ctrlProp233.xml><?xml version="1.0" encoding="utf-8"?>
<formControlPr xmlns="http://schemas.microsoft.com/office/spreadsheetml/2009/9/main" objectType="CheckBox" fmlaLink="$D$60" lockText="1" noThreeD="1"/>
</file>

<file path=xl/ctrlProps/ctrlProp234.xml><?xml version="1.0" encoding="utf-8"?>
<formControlPr xmlns="http://schemas.microsoft.com/office/spreadsheetml/2009/9/main" objectType="CheckBox" fmlaLink="$D$61" lockText="1" noThreeD="1"/>
</file>

<file path=xl/ctrlProps/ctrlProp235.xml><?xml version="1.0" encoding="utf-8"?>
<formControlPr xmlns="http://schemas.microsoft.com/office/spreadsheetml/2009/9/main" objectType="CheckBox" fmlaLink="$D$62" lockText="1" noThreeD="1"/>
</file>

<file path=xl/ctrlProps/ctrlProp236.xml><?xml version="1.0" encoding="utf-8"?>
<formControlPr xmlns="http://schemas.microsoft.com/office/spreadsheetml/2009/9/main" objectType="CheckBox" fmlaLink="$D$64" lockText="1" noThreeD="1"/>
</file>

<file path=xl/ctrlProps/ctrlProp237.xml><?xml version="1.0" encoding="utf-8"?>
<formControlPr xmlns="http://schemas.microsoft.com/office/spreadsheetml/2009/9/main" objectType="CheckBox" fmlaLink="$D$65" lockText="1" noThreeD="1"/>
</file>

<file path=xl/ctrlProps/ctrlProp238.xml><?xml version="1.0" encoding="utf-8"?>
<formControlPr xmlns="http://schemas.microsoft.com/office/spreadsheetml/2009/9/main" objectType="CheckBox" fmlaLink="$D$66" lockText="1" noThreeD="1"/>
</file>

<file path=xl/ctrlProps/ctrlProp239.xml><?xml version="1.0" encoding="utf-8"?>
<formControlPr xmlns="http://schemas.microsoft.com/office/spreadsheetml/2009/9/main" objectType="CheckBox" fmlaLink="$D$64" lockText="1" noThreeD="1"/>
</file>

<file path=xl/ctrlProps/ctrlProp240.xml><?xml version="1.0" encoding="utf-8"?>
<formControlPr xmlns="http://schemas.microsoft.com/office/spreadsheetml/2009/9/main" objectType="CheckBox" fmlaLink="$D$68" lockText="1" noThreeD="1"/>
</file>

<file path=xl/ctrlProps/ctrlProp241.xml><?xml version="1.0" encoding="utf-8"?>
<formControlPr xmlns="http://schemas.microsoft.com/office/spreadsheetml/2009/9/main" objectType="CheckBox" fmlaLink="$D$69" lockText="1" noThreeD="1"/>
</file>

<file path=xl/ctrlProps/ctrlProp242.xml><?xml version="1.0" encoding="utf-8"?>
<formControlPr xmlns="http://schemas.microsoft.com/office/spreadsheetml/2009/9/main" objectType="CheckBox" fmlaLink="$D$70" lockText="1" noThreeD="1"/>
</file>

<file path=xl/ctrlProps/ctrlProp243.xml><?xml version="1.0" encoding="utf-8"?>
<formControlPr xmlns="http://schemas.microsoft.com/office/spreadsheetml/2009/9/main" objectType="CheckBox" fmlaLink="$D$71" lockText="1" noThreeD="1"/>
</file>

<file path=xl/ctrlProps/ctrlProp244.xml><?xml version="1.0" encoding="utf-8"?>
<formControlPr xmlns="http://schemas.microsoft.com/office/spreadsheetml/2009/9/main" objectType="CheckBox" fmlaLink="$D$72" lockText="1" noThreeD="1"/>
</file>

<file path=xl/ctrlProps/ctrlProp245.xml><?xml version="1.0" encoding="utf-8"?>
<formControlPr xmlns="http://schemas.microsoft.com/office/spreadsheetml/2009/9/main" objectType="CheckBox" fmlaLink="$D$73" lockText="1" noThreeD="1"/>
</file>

<file path=xl/ctrlProps/ctrlProp246.xml><?xml version="1.0" encoding="utf-8"?>
<formControlPr xmlns="http://schemas.microsoft.com/office/spreadsheetml/2009/9/main" objectType="CheckBox" fmlaLink="$D$74" lockText="1" noThreeD="1"/>
</file>

<file path=xl/ctrlProps/ctrlProp247.xml><?xml version="1.0" encoding="utf-8"?>
<formControlPr xmlns="http://schemas.microsoft.com/office/spreadsheetml/2009/9/main" objectType="CheckBox" fmlaLink="$D$75" lockText="1" noThreeD="1"/>
</file>

<file path=xl/ctrlProps/ctrlProp248.xml><?xml version="1.0" encoding="utf-8"?>
<formControlPr xmlns="http://schemas.microsoft.com/office/spreadsheetml/2009/9/main" objectType="CheckBox" fmlaLink="$D$76" lockText="1" noThreeD="1"/>
</file>

<file path=xl/ctrlProps/ctrlProp249.xml><?xml version="1.0" encoding="utf-8"?>
<formControlPr xmlns="http://schemas.microsoft.com/office/spreadsheetml/2009/9/main" objectType="CheckBox" fmlaLink="$D$55" lockText="1" noThreeD="1"/>
</file>

<file path=xl/ctrlProps/ctrlProp250.xml><?xml version="1.0" encoding="utf-8"?>
<formControlPr xmlns="http://schemas.microsoft.com/office/spreadsheetml/2009/9/main" objectType="CheckBox" fmlaLink="$D$27" lockText="1" noThreeD="1"/>
</file>

<file path=xl/ctrlProps/ctrlProp251.xml><?xml version="1.0" encoding="utf-8"?>
<formControlPr xmlns="http://schemas.microsoft.com/office/spreadsheetml/2009/9/main" objectType="CheckBox" fmlaLink="$D$34" lockText="1" noThreeD="1"/>
</file>

<file path=xl/ctrlProps/ctrlProp252.xml><?xml version="1.0" encoding="utf-8"?>
<formControlPr xmlns="http://schemas.microsoft.com/office/spreadsheetml/2009/9/main" objectType="CheckBox" fmlaLink="$D$41" lockText="1" noThreeD="1"/>
</file>

<file path=xl/ctrlProps/ctrlProp253.xml><?xml version="1.0" encoding="utf-8"?>
<formControlPr xmlns="http://schemas.microsoft.com/office/spreadsheetml/2009/9/main" objectType="CheckBox" fmlaLink="$D$21" lockText="1" noThreeD="1"/>
</file>

<file path=xl/ctrlProps/ctrlProp254.xml><?xml version="1.0" encoding="utf-8"?>
<formControlPr xmlns="http://schemas.microsoft.com/office/spreadsheetml/2009/9/main" objectType="CheckBox" fmlaLink="$D$39" lockText="1" noThreeD="1"/>
</file>

<file path=xl/ctrlProps/ctrlProp255.xml><?xml version="1.0" encoding="utf-8"?>
<formControlPr xmlns="http://schemas.microsoft.com/office/spreadsheetml/2009/9/main" objectType="CheckBox" fmlaLink="$D$77" lockText="1" noThreeD="1"/>
</file>

<file path=xl/ctrlProps/ctrlProp256.xml><?xml version="1.0" encoding="utf-8"?>
<formControlPr xmlns="http://schemas.microsoft.com/office/spreadsheetml/2009/9/main" objectType="CheckBox" fmlaLink="$D$67" lockText="1" noThreeD="1"/>
</file>

<file path=xl/ctrlProps/ctrlProp257.xml><?xml version="1.0" encoding="utf-8"?>
<formControlPr xmlns="http://schemas.microsoft.com/office/spreadsheetml/2009/9/main" objectType="CheckBox" fmlaLink="$D$52" lockText="1" noThreeD="1"/>
</file>

<file path=xl/ctrlProps/ctrlProp258.xml><?xml version="1.0" encoding="utf-8"?>
<formControlPr xmlns="http://schemas.microsoft.com/office/spreadsheetml/2009/9/main" objectType="CheckBox" fmlaLink="$D$49" lockText="1" noThreeD="1"/>
</file>

<file path=xl/ctrlProps/ctrlProp259.xml><?xml version="1.0" encoding="utf-8"?>
<formControlPr xmlns="http://schemas.microsoft.com/office/spreadsheetml/2009/9/main" objectType="CheckBox" fmlaLink="$D$78" lockText="1" noThreeD="1"/>
</file>

<file path=xl/ctrlProps/ctrlProp260.xml><?xml version="1.0" encoding="utf-8"?>
<formControlPr xmlns="http://schemas.microsoft.com/office/spreadsheetml/2009/9/main" objectType="CheckBox" fmlaLink="$D$80" lockText="1" noThreeD="1"/>
</file>

<file path=xl/ctrlProps/ctrlProp261.xml><?xml version="1.0" encoding="utf-8"?>
<formControlPr xmlns="http://schemas.microsoft.com/office/spreadsheetml/2009/9/main" objectType="CheckBox" fmlaLink="$D$79" lockText="1" noThreeD="1"/>
</file>

<file path=xl/ctrlProps/ctrlProp262.xml><?xml version="1.0" encoding="utf-8"?>
<formControlPr xmlns="http://schemas.microsoft.com/office/spreadsheetml/2009/9/main" objectType="CheckBox" fmlaLink="$D$81" lockText="1" noThreeD="1"/>
</file>

<file path=xl/ctrlProps/ctrlProp263.xml><?xml version="1.0" encoding="utf-8"?>
<formControlPr xmlns="http://schemas.microsoft.com/office/spreadsheetml/2009/9/main" objectType="CheckBox" fmlaLink="$D$47" lockText="1" noThreeD="1"/>
</file>

<file path=xl/ctrlProps/ctrlProp264.xml><?xml version="1.0" encoding="utf-8"?>
<formControlPr xmlns="http://schemas.microsoft.com/office/spreadsheetml/2009/9/main" objectType="CheckBox" fmlaLink="#REF!" lockText="1" noThreeD="1"/>
</file>

<file path=xl/ctrlProps/ctrlProp265.xml><?xml version="1.0" encoding="utf-8"?>
<formControlPr xmlns="http://schemas.microsoft.com/office/spreadsheetml/2009/9/main" objectType="CheckBox" fmlaLink="$D$27" lockText="1" noThreeD="1"/>
</file>

<file path=xl/ctrlProps/ctrlProp266.xml><?xml version="1.0" encoding="utf-8"?>
<formControlPr xmlns="http://schemas.microsoft.com/office/spreadsheetml/2009/9/main" objectType="CheckBox" fmlaLink="$D$30" lockText="1" noThreeD="1"/>
</file>

<file path=xl/ctrlProps/ctrlProp267.xml><?xml version="1.0" encoding="utf-8"?>
<formControlPr xmlns="http://schemas.microsoft.com/office/spreadsheetml/2009/9/main" objectType="CheckBox" fmlaLink="$D$31" lockText="1" noThreeD="1"/>
</file>

<file path=xl/ctrlProps/ctrlProp268.xml><?xml version="1.0" encoding="utf-8"?>
<formControlPr xmlns="http://schemas.microsoft.com/office/spreadsheetml/2009/9/main" objectType="CheckBox" fmlaLink="$D$32" lockText="1" noThreeD="1"/>
</file>

<file path=xl/ctrlProps/ctrlProp269.xml><?xml version="1.0" encoding="utf-8"?>
<formControlPr xmlns="http://schemas.microsoft.com/office/spreadsheetml/2009/9/main" objectType="CheckBox" fmlaLink="$D$33" lockText="1" noThreeD="1"/>
</file>

<file path=xl/ctrlProps/ctrlProp270.xml><?xml version="1.0" encoding="utf-8"?>
<formControlPr xmlns="http://schemas.microsoft.com/office/spreadsheetml/2009/9/main" objectType="CheckBox" fmlaLink="$D$34" lockText="1" noThreeD="1"/>
</file>

<file path=xl/ctrlProps/ctrlProp271.xml><?xml version="1.0" encoding="utf-8"?>
<formControlPr xmlns="http://schemas.microsoft.com/office/spreadsheetml/2009/9/main" objectType="CheckBox" fmlaLink="$D$35" lockText="1" noThreeD="1"/>
</file>

<file path=xl/ctrlProps/ctrlProp272.xml><?xml version="1.0" encoding="utf-8"?>
<formControlPr xmlns="http://schemas.microsoft.com/office/spreadsheetml/2009/9/main" objectType="CheckBox" fmlaLink="$D$36" lockText="1" noThreeD="1"/>
</file>

<file path=xl/ctrlProps/ctrlProp273.xml><?xml version="1.0" encoding="utf-8"?>
<formControlPr xmlns="http://schemas.microsoft.com/office/spreadsheetml/2009/9/main" objectType="CheckBox" fmlaLink="$D$37" lockText="1" noThreeD="1"/>
</file>

<file path=xl/ctrlProps/ctrlProp274.xml><?xml version="1.0" encoding="utf-8"?>
<formControlPr xmlns="http://schemas.microsoft.com/office/spreadsheetml/2009/9/main" objectType="CheckBox" fmlaLink="$D$38" lockText="1" noThreeD="1"/>
</file>

<file path=xl/ctrlProps/ctrlProp275.xml><?xml version="1.0" encoding="utf-8"?>
<formControlPr xmlns="http://schemas.microsoft.com/office/spreadsheetml/2009/9/main" objectType="CheckBox" fmlaLink="$D$39" lockText="1" noThreeD="1"/>
</file>

<file path=xl/ctrlProps/ctrlProp276.xml><?xml version="1.0" encoding="utf-8"?>
<formControlPr xmlns="http://schemas.microsoft.com/office/spreadsheetml/2009/9/main" objectType="CheckBox" fmlaLink="$D$40" lockText="1" noThreeD="1"/>
</file>

<file path=xl/ctrlProps/ctrlProp277.xml><?xml version="1.0" encoding="utf-8"?>
<formControlPr xmlns="http://schemas.microsoft.com/office/spreadsheetml/2009/9/main" objectType="CheckBox" fmlaLink="$D$41" lockText="1" noThreeD="1"/>
</file>

<file path=xl/ctrlProps/ctrlProp278.xml><?xml version="1.0" encoding="utf-8"?>
<formControlPr xmlns="http://schemas.microsoft.com/office/spreadsheetml/2009/9/main" objectType="CheckBox" fmlaLink="$D$42" lockText="1" noThreeD="1"/>
</file>

<file path=xl/ctrlProps/ctrlProp279.xml><?xml version="1.0" encoding="utf-8"?>
<formControlPr xmlns="http://schemas.microsoft.com/office/spreadsheetml/2009/9/main" objectType="CheckBox" fmlaLink="$D$43" lockText="1" noThreeD="1"/>
</file>

<file path=xl/ctrlProps/ctrlProp280.xml><?xml version="1.0" encoding="utf-8"?>
<formControlPr xmlns="http://schemas.microsoft.com/office/spreadsheetml/2009/9/main" objectType="CheckBox" fmlaLink="$D$44" lockText="1" noThreeD="1"/>
</file>

<file path=xl/ctrlProps/ctrlProp281.xml><?xml version="1.0" encoding="utf-8"?>
<formControlPr xmlns="http://schemas.microsoft.com/office/spreadsheetml/2009/9/main" objectType="CheckBox" fmlaLink="$D$45" lockText="1" noThreeD="1"/>
</file>

<file path=xl/ctrlProps/ctrlProp282.xml><?xml version="1.0" encoding="utf-8"?>
<formControlPr xmlns="http://schemas.microsoft.com/office/spreadsheetml/2009/9/main" objectType="CheckBox" fmlaLink="$D$46" lockText="1" noThreeD="1"/>
</file>

<file path=xl/ctrlProps/ctrlProp283.xml><?xml version="1.0" encoding="utf-8"?>
<formControlPr xmlns="http://schemas.microsoft.com/office/spreadsheetml/2009/9/main" objectType="CheckBox" fmlaLink="$D$47" lockText="1" noThreeD="1"/>
</file>

<file path=xl/ctrlProps/ctrlProp284.xml><?xml version="1.0" encoding="utf-8"?>
<formControlPr xmlns="http://schemas.microsoft.com/office/spreadsheetml/2009/9/main" objectType="CheckBox" fmlaLink="$D$49" lockText="1" noThreeD="1"/>
</file>

<file path=xl/ctrlProps/ctrlProp285.xml><?xml version="1.0" encoding="utf-8"?>
<formControlPr xmlns="http://schemas.microsoft.com/office/spreadsheetml/2009/9/main" objectType="CheckBox" fmlaLink="$D$50" lockText="1" noThreeD="1"/>
</file>

<file path=xl/ctrlProps/ctrlProp286.xml><?xml version="1.0" encoding="utf-8"?>
<formControlPr xmlns="http://schemas.microsoft.com/office/spreadsheetml/2009/9/main" objectType="CheckBox" fmlaLink="$D$51" lockText="1" noThreeD="1"/>
</file>

<file path=xl/ctrlProps/ctrlProp287.xml><?xml version="1.0" encoding="utf-8"?>
<formControlPr xmlns="http://schemas.microsoft.com/office/spreadsheetml/2009/9/main" objectType="CheckBox" fmlaLink="$D$53" lockText="1" noThreeD="1"/>
</file>

<file path=xl/ctrlProps/ctrlProp288.xml><?xml version="1.0" encoding="utf-8"?>
<formControlPr xmlns="http://schemas.microsoft.com/office/spreadsheetml/2009/9/main" objectType="CheckBox" fmlaLink="$D$54" lockText="1" noThreeD="1"/>
</file>

<file path=xl/ctrlProps/ctrlProp289.xml><?xml version="1.0" encoding="utf-8"?>
<formControlPr xmlns="http://schemas.microsoft.com/office/spreadsheetml/2009/9/main" objectType="CheckBox" fmlaLink="$D$56" lockText="1" noThreeD="1"/>
</file>

<file path=xl/ctrlProps/ctrlProp290.xml><?xml version="1.0" encoding="utf-8"?>
<formControlPr xmlns="http://schemas.microsoft.com/office/spreadsheetml/2009/9/main" objectType="CheckBox" fmlaLink="$D$57" lockText="1" noThreeD="1"/>
</file>

<file path=xl/ctrlProps/ctrlProp291.xml><?xml version="1.0" encoding="utf-8"?>
<formControlPr xmlns="http://schemas.microsoft.com/office/spreadsheetml/2009/9/main" objectType="CheckBox" fmlaLink="$D$58" lockText="1" noThreeD="1"/>
</file>

<file path=xl/ctrlProps/ctrlProp292.xml><?xml version="1.0" encoding="utf-8"?>
<formControlPr xmlns="http://schemas.microsoft.com/office/spreadsheetml/2009/9/main" objectType="CheckBox" fmlaLink="$D$60" lockText="1" noThreeD="1"/>
</file>

<file path=xl/ctrlProps/ctrlProp293.xml><?xml version="1.0" encoding="utf-8"?>
<formControlPr xmlns="http://schemas.microsoft.com/office/spreadsheetml/2009/9/main" objectType="CheckBox" fmlaLink="$D$61" lockText="1" noThreeD="1"/>
</file>

<file path=xl/ctrlProps/ctrlProp294.xml><?xml version="1.0" encoding="utf-8"?>
<formControlPr xmlns="http://schemas.microsoft.com/office/spreadsheetml/2009/9/main" objectType="CheckBox" fmlaLink="$D$62" lockText="1" noThreeD="1"/>
</file>

<file path=xl/ctrlProps/ctrlProp295.xml><?xml version="1.0" encoding="utf-8"?>
<formControlPr xmlns="http://schemas.microsoft.com/office/spreadsheetml/2009/9/main" objectType="CheckBox" fmlaLink="$D$64" lockText="1" noThreeD="1"/>
</file>

<file path=xl/ctrlProps/ctrlProp296.xml><?xml version="1.0" encoding="utf-8"?>
<formControlPr xmlns="http://schemas.microsoft.com/office/spreadsheetml/2009/9/main" objectType="CheckBox" fmlaLink="$D$65" lockText="1" noThreeD="1"/>
</file>

<file path=xl/ctrlProps/ctrlProp297.xml><?xml version="1.0" encoding="utf-8"?>
<formControlPr xmlns="http://schemas.microsoft.com/office/spreadsheetml/2009/9/main" objectType="CheckBox" fmlaLink="$D$66" lockText="1" noThreeD="1"/>
</file>

<file path=xl/ctrlProps/ctrlProp298.xml><?xml version="1.0" encoding="utf-8"?>
<formControlPr xmlns="http://schemas.microsoft.com/office/spreadsheetml/2009/9/main" objectType="CheckBox" fmlaLink="$D$68" lockText="1" noThreeD="1"/>
</file>

<file path=xl/ctrlProps/ctrlProp299.xml><?xml version="1.0" encoding="utf-8"?>
<formControlPr xmlns="http://schemas.microsoft.com/office/spreadsheetml/2009/9/main" objectType="CheckBox" fmlaLink="$D$69" lockText="1" noThreeD="1"/>
</file>

<file path=xl/ctrlProps/ctrlProp300.xml><?xml version="1.0" encoding="utf-8"?>
<formControlPr xmlns="http://schemas.microsoft.com/office/spreadsheetml/2009/9/main" objectType="CheckBox" fmlaLink="$D$70" lockText="1" noThreeD="1"/>
</file>

<file path=xl/ctrlProps/ctrlProp301.xml><?xml version="1.0" encoding="utf-8"?>
<formControlPr xmlns="http://schemas.microsoft.com/office/spreadsheetml/2009/9/main" objectType="CheckBox" fmlaLink="$D$71" lockText="1" noThreeD="1"/>
</file>

<file path=xl/ctrlProps/ctrlProp302.xml><?xml version="1.0" encoding="utf-8"?>
<formControlPr xmlns="http://schemas.microsoft.com/office/spreadsheetml/2009/9/main" objectType="CheckBox" fmlaLink="$D$72" lockText="1" noThreeD="1"/>
</file>

<file path=xl/ctrlProps/ctrlProp303.xml><?xml version="1.0" encoding="utf-8"?>
<formControlPr xmlns="http://schemas.microsoft.com/office/spreadsheetml/2009/9/main" objectType="CheckBox" fmlaLink="$D$73" lockText="1" noThreeD="1"/>
</file>

<file path=xl/ctrlProps/ctrlProp304.xml><?xml version="1.0" encoding="utf-8"?>
<formControlPr xmlns="http://schemas.microsoft.com/office/spreadsheetml/2009/9/main" objectType="CheckBox" fmlaLink="$D$74" lockText="1" noThreeD="1"/>
</file>

<file path=xl/ctrlProps/ctrlProp305.xml><?xml version="1.0" encoding="utf-8"?>
<formControlPr xmlns="http://schemas.microsoft.com/office/spreadsheetml/2009/9/main" objectType="CheckBox" fmlaLink="$D$75" lockText="1" noThreeD="1"/>
</file>

<file path=xl/ctrlProps/ctrlProp306.xml><?xml version="1.0" encoding="utf-8"?>
<formControlPr xmlns="http://schemas.microsoft.com/office/spreadsheetml/2009/9/main" objectType="CheckBox" fmlaLink="$D$76" lockText="1" noThreeD="1"/>
</file>

<file path=xl/ctrlProps/ctrlProp307.xml><?xml version="1.0" encoding="utf-8"?>
<formControlPr xmlns="http://schemas.microsoft.com/office/spreadsheetml/2009/9/main" objectType="CheckBox" fmlaLink="$D$77" lockText="1" noThreeD="1"/>
</file>

<file path=xl/ctrlProps/ctrlProp308.xml><?xml version="1.0" encoding="utf-8"?>
<formControlPr xmlns="http://schemas.microsoft.com/office/spreadsheetml/2009/9/main" objectType="CheckBox" fmlaLink="$D$78" lockText="1" noThreeD="1"/>
</file>

<file path=xl/ctrlProps/ctrlProp309.xml><?xml version="1.0" encoding="utf-8"?>
<formControlPr xmlns="http://schemas.microsoft.com/office/spreadsheetml/2009/9/main" objectType="CheckBox" fmlaLink="$D$80" lockText="1" noThreeD="1"/>
</file>

<file path=xl/ctrlProps/ctrlProp310.xml><?xml version="1.0" encoding="utf-8"?>
<formControlPr xmlns="http://schemas.microsoft.com/office/spreadsheetml/2009/9/main" objectType="CheckBox" fmlaLink="$D$79" lockText="1" noThreeD="1"/>
</file>

<file path=xl/ctrlProps/ctrlProp311.xml><?xml version="1.0" encoding="utf-8"?>
<formControlPr xmlns="http://schemas.microsoft.com/office/spreadsheetml/2009/9/main" objectType="CheckBox" fmlaLink="$D$81" lockText="1" noThreeD="1"/>
</file>

<file path=xl/ctrlProps/ctrlProp312.xml><?xml version="1.0" encoding="utf-8"?>
<formControlPr xmlns="http://schemas.microsoft.com/office/spreadsheetml/2009/9/main" objectType="CheckBox" fmlaLink="$D$81" lockText="1" noThreeD="1"/>
</file>

<file path=xl/ctrlProps/ctrlProp313.xml><?xml version="1.0" encoding="utf-8"?>
<formControlPr xmlns="http://schemas.microsoft.com/office/spreadsheetml/2009/9/main" objectType="CheckBox" fmlaLink="$D$82" lockText="1" noThreeD="1"/>
</file>

<file path=xl/ctrlProps/ctrlProp314.xml><?xml version="1.0" encoding="utf-8"?>
<formControlPr xmlns="http://schemas.microsoft.com/office/spreadsheetml/2009/9/main" objectType="CheckBox" fmlaLink="$D$81" lockText="1" noThreeD="1"/>
</file>

<file path=xl/ctrlProps/ctrlProp315.xml><?xml version="1.0" encoding="utf-8"?>
<formControlPr xmlns="http://schemas.microsoft.com/office/spreadsheetml/2009/9/main" objectType="CheckBox" fmlaLink="$D$16" lockText="1" noThreeD="1"/>
</file>

<file path=xl/ctrlProps/ctrlProp316.xml><?xml version="1.0" encoding="utf-8"?>
<formControlPr xmlns="http://schemas.microsoft.com/office/spreadsheetml/2009/9/main" objectType="CheckBox" fmlaLink="$D$17" lockText="1" noThreeD="1"/>
</file>

<file path=xl/ctrlProps/ctrlProp317.xml><?xml version="1.0" encoding="utf-8"?>
<formControlPr xmlns="http://schemas.microsoft.com/office/spreadsheetml/2009/9/main" objectType="CheckBox" fmlaLink="$D$20" lockText="1" noThreeD="1"/>
</file>

<file path=xl/ctrlProps/ctrlProp318.xml><?xml version="1.0" encoding="utf-8"?>
<formControlPr xmlns="http://schemas.microsoft.com/office/spreadsheetml/2009/9/main" objectType="CheckBox" fmlaLink="$D$24" lockText="1" noThreeD="1"/>
</file>

<file path=xl/ctrlProps/ctrlProp319.xml><?xml version="1.0" encoding="utf-8"?>
<formControlPr xmlns="http://schemas.microsoft.com/office/spreadsheetml/2009/9/main" objectType="CheckBox" fmlaLink="$D$27" lockText="1" noThreeD="1"/>
</file>

<file path=xl/ctrlProps/ctrlProp320.xml><?xml version="1.0" encoding="utf-8"?>
<formControlPr xmlns="http://schemas.microsoft.com/office/spreadsheetml/2009/9/main" objectType="CheckBox" fmlaLink="$D$28" lockText="1" noThreeD="1"/>
</file>

<file path=xl/ctrlProps/ctrlProp321.xml><?xml version="1.0" encoding="utf-8"?>
<formControlPr xmlns="http://schemas.microsoft.com/office/spreadsheetml/2009/9/main" objectType="CheckBox" fmlaLink="$D$27" lockText="1" noThreeD="1"/>
</file>

<file path=xl/ctrlProps/ctrlProp322.xml><?xml version="1.0" encoding="utf-8"?>
<formControlPr xmlns="http://schemas.microsoft.com/office/spreadsheetml/2009/9/main" objectType="CheckBox" fmlaLink="$D$29" lockText="1" noThreeD="1"/>
</file>

<file path=xl/ctrlProps/ctrlProp323.xml><?xml version="1.0" encoding="utf-8"?>
<formControlPr xmlns="http://schemas.microsoft.com/office/spreadsheetml/2009/9/main" objectType="CheckBox" fmlaLink="$D$47" lockText="1" noThreeD="1"/>
</file>

<file path=xl/ctrlProps/ctrlProp324.xml><?xml version="1.0" encoding="utf-8"?>
<formControlPr xmlns="http://schemas.microsoft.com/office/spreadsheetml/2009/9/main" objectType="CheckBox" fmlaLink="$D$47" lockText="1" noThreeD="1"/>
</file>

<file path=xl/ctrlProps/ctrlProp325.xml><?xml version="1.0" encoding="utf-8"?>
<formControlPr xmlns="http://schemas.microsoft.com/office/spreadsheetml/2009/9/main" objectType="CheckBox" fmlaLink="$D$47" lockText="1" noThreeD="1"/>
</file>

<file path=xl/ctrlProps/ctrlProp326.xml><?xml version="1.0" encoding="utf-8"?>
<formControlPr xmlns="http://schemas.microsoft.com/office/spreadsheetml/2009/9/main" objectType="CheckBox" fmlaLink="$D$48" lockText="1" noThreeD="1"/>
</file>

<file path=xl/ctrlProps/ctrlProp327.xml><?xml version="1.0" encoding="utf-8"?>
<formControlPr xmlns="http://schemas.microsoft.com/office/spreadsheetml/2009/9/main" objectType="CheckBox" fmlaLink="$D$58" lockText="1" noThreeD="1"/>
</file>

<file path=xl/ctrlProps/ctrlProp328.xml><?xml version="1.0" encoding="utf-8"?>
<formControlPr xmlns="http://schemas.microsoft.com/office/spreadsheetml/2009/9/main" objectType="CheckBox" fmlaLink="$D$59" lockText="1" noThreeD="1"/>
</file>

<file path=xl/ctrlProps/ctrlProp329.xml><?xml version="1.0" encoding="utf-8"?>
<formControlPr xmlns="http://schemas.microsoft.com/office/spreadsheetml/2009/9/main" objectType="CheckBox" fmlaLink="$D$62" lockText="1" noThreeD="1"/>
</file>

<file path=xl/ctrlProps/ctrlProp330.xml><?xml version="1.0" encoding="utf-8"?>
<formControlPr xmlns="http://schemas.microsoft.com/office/spreadsheetml/2009/9/main" objectType="CheckBox" fmlaLink="$D$63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notes://NotesDB-2/C925684100017116/951BC6171451D5A24925687800189C08/D04ED238E4D7C293492583FA0024DB25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38100</xdr:rowOff>
        </xdr:from>
        <xdr:to>
          <xdr:col>6</xdr:col>
          <xdr:colOff>714375</xdr:colOff>
          <xdr:row>0</xdr:row>
          <xdr:rowOff>590550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全体送信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</xdr:row>
          <xdr:rowOff>9525</xdr:rowOff>
        </xdr:from>
        <xdr:to>
          <xdr:col>2</xdr:col>
          <xdr:colOff>704850</xdr:colOff>
          <xdr:row>4</xdr:row>
          <xdr:rowOff>171450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</xdr:row>
          <xdr:rowOff>0</xdr:rowOff>
        </xdr:from>
        <xdr:to>
          <xdr:col>2</xdr:col>
          <xdr:colOff>704850</xdr:colOff>
          <xdr:row>5</xdr:row>
          <xdr:rowOff>161925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</xdr:row>
          <xdr:rowOff>0</xdr:rowOff>
        </xdr:from>
        <xdr:to>
          <xdr:col>2</xdr:col>
          <xdr:colOff>704850</xdr:colOff>
          <xdr:row>6</xdr:row>
          <xdr:rowOff>161925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</xdr:row>
          <xdr:rowOff>9525</xdr:rowOff>
        </xdr:from>
        <xdr:to>
          <xdr:col>2</xdr:col>
          <xdr:colOff>704850</xdr:colOff>
          <xdr:row>8</xdr:row>
          <xdr:rowOff>171450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9</xdr:row>
          <xdr:rowOff>0</xdr:rowOff>
        </xdr:from>
        <xdr:to>
          <xdr:col>2</xdr:col>
          <xdr:colOff>704850</xdr:colOff>
          <xdr:row>9</xdr:row>
          <xdr:rowOff>161925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10</xdr:row>
          <xdr:rowOff>0</xdr:rowOff>
        </xdr:from>
        <xdr:to>
          <xdr:col>2</xdr:col>
          <xdr:colOff>704850</xdr:colOff>
          <xdr:row>10</xdr:row>
          <xdr:rowOff>161925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13</xdr:row>
          <xdr:rowOff>0</xdr:rowOff>
        </xdr:from>
        <xdr:to>
          <xdr:col>2</xdr:col>
          <xdr:colOff>704850</xdr:colOff>
          <xdr:row>13</xdr:row>
          <xdr:rowOff>161925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14</xdr:row>
          <xdr:rowOff>0</xdr:rowOff>
        </xdr:from>
        <xdr:to>
          <xdr:col>2</xdr:col>
          <xdr:colOff>704850</xdr:colOff>
          <xdr:row>14</xdr:row>
          <xdr:rowOff>161925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15</xdr:row>
          <xdr:rowOff>0</xdr:rowOff>
        </xdr:from>
        <xdr:to>
          <xdr:col>2</xdr:col>
          <xdr:colOff>704850</xdr:colOff>
          <xdr:row>15</xdr:row>
          <xdr:rowOff>161925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21</xdr:row>
          <xdr:rowOff>0</xdr:rowOff>
        </xdr:from>
        <xdr:to>
          <xdr:col>2</xdr:col>
          <xdr:colOff>704850</xdr:colOff>
          <xdr:row>21</xdr:row>
          <xdr:rowOff>161925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22</xdr:row>
          <xdr:rowOff>0</xdr:rowOff>
        </xdr:from>
        <xdr:to>
          <xdr:col>2</xdr:col>
          <xdr:colOff>704850</xdr:colOff>
          <xdr:row>22</xdr:row>
          <xdr:rowOff>161925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17</xdr:row>
          <xdr:rowOff>0</xdr:rowOff>
        </xdr:from>
        <xdr:to>
          <xdr:col>2</xdr:col>
          <xdr:colOff>704850</xdr:colOff>
          <xdr:row>17</xdr:row>
          <xdr:rowOff>161925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18</xdr:row>
          <xdr:rowOff>0</xdr:rowOff>
        </xdr:from>
        <xdr:to>
          <xdr:col>2</xdr:col>
          <xdr:colOff>704850</xdr:colOff>
          <xdr:row>18</xdr:row>
          <xdr:rowOff>161925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24</xdr:row>
          <xdr:rowOff>0</xdr:rowOff>
        </xdr:from>
        <xdr:to>
          <xdr:col>2</xdr:col>
          <xdr:colOff>704850</xdr:colOff>
          <xdr:row>24</xdr:row>
          <xdr:rowOff>161925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24</xdr:row>
          <xdr:rowOff>0</xdr:rowOff>
        </xdr:from>
        <xdr:to>
          <xdr:col>2</xdr:col>
          <xdr:colOff>704850</xdr:colOff>
          <xdr:row>24</xdr:row>
          <xdr:rowOff>161925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25</xdr:row>
          <xdr:rowOff>0</xdr:rowOff>
        </xdr:from>
        <xdr:to>
          <xdr:col>2</xdr:col>
          <xdr:colOff>704850</xdr:colOff>
          <xdr:row>25</xdr:row>
          <xdr:rowOff>161925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26</xdr:row>
          <xdr:rowOff>0</xdr:rowOff>
        </xdr:from>
        <xdr:to>
          <xdr:col>2</xdr:col>
          <xdr:colOff>704850</xdr:colOff>
          <xdr:row>26</xdr:row>
          <xdr:rowOff>161925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29</xdr:row>
          <xdr:rowOff>0</xdr:rowOff>
        </xdr:from>
        <xdr:to>
          <xdr:col>2</xdr:col>
          <xdr:colOff>704850</xdr:colOff>
          <xdr:row>29</xdr:row>
          <xdr:rowOff>161925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30</xdr:row>
          <xdr:rowOff>0</xdr:rowOff>
        </xdr:from>
        <xdr:to>
          <xdr:col>2</xdr:col>
          <xdr:colOff>704850</xdr:colOff>
          <xdr:row>30</xdr:row>
          <xdr:rowOff>161925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31</xdr:row>
          <xdr:rowOff>0</xdr:rowOff>
        </xdr:from>
        <xdr:to>
          <xdr:col>2</xdr:col>
          <xdr:colOff>704850</xdr:colOff>
          <xdr:row>31</xdr:row>
          <xdr:rowOff>161925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32</xdr:row>
          <xdr:rowOff>0</xdr:rowOff>
        </xdr:from>
        <xdr:to>
          <xdr:col>2</xdr:col>
          <xdr:colOff>704850</xdr:colOff>
          <xdr:row>32</xdr:row>
          <xdr:rowOff>161925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34</xdr:row>
          <xdr:rowOff>0</xdr:rowOff>
        </xdr:from>
        <xdr:to>
          <xdr:col>2</xdr:col>
          <xdr:colOff>704850</xdr:colOff>
          <xdr:row>34</xdr:row>
          <xdr:rowOff>161925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35</xdr:row>
          <xdr:rowOff>0</xdr:rowOff>
        </xdr:from>
        <xdr:to>
          <xdr:col>2</xdr:col>
          <xdr:colOff>704850</xdr:colOff>
          <xdr:row>35</xdr:row>
          <xdr:rowOff>171450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36</xdr:row>
          <xdr:rowOff>0</xdr:rowOff>
        </xdr:from>
        <xdr:to>
          <xdr:col>2</xdr:col>
          <xdr:colOff>704850</xdr:colOff>
          <xdr:row>36</xdr:row>
          <xdr:rowOff>161925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37</xdr:row>
          <xdr:rowOff>0</xdr:rowOff>
        </xdr:from>
        <xdr:to>
          <xdr:col>2</xdr:col>
          <xdr:colOff>704850</xdr:colOff>
          <xdr:row>37</xdr:row>
          <xdr:rowOff>161925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39</xdr:row>
          <xdr:rowOff>0</xdr:rowOff>
        </xdr:from>
        <xdr:to>
          <xdr:col>2</xdr:col>
          <xdr:colOff>704850</xdr:colOff>
          <xdr:row>39</xdr:row>
          <xdr:rowOff>161925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41</xdr:row>
          <xdr:rowOff>0</xdr:rowOff>
        </xdr:from>
        <xdr:to>
          <xdr:col>2</xdr:col>
          <xdr:colOff>704850</xdr:colOff>
          <xdr:row>41</xdr:row>
          <xdr:rowOff>161925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42</xdr:row>
          <xdr:rowOff>0</xdr:rowOff>
        </xdr:from>
        <xdr:to>
          <xdr:col>2</xdr:col>
          <xdr:colOff>704850</xdr:colOff>
          <xdr:row>42</xdr:row>
          <xdr:rowOff>161925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43</xdr:row>
          <xdr:rowOff>0</xdr:rowOff>
        </xdr:from>
        <xdr:to>
          <xdr:col>2</xdr:col>
          <xdr:colOff>704850</xdr:colOff>
          <xdr:row>43</xdr:row>
          <xdr:rowOff>161925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44</xdr:row>
          <xdr:rowOff>0</xdr:rowOff>
        </xdr:from>
        <xdr:to>
          <xdr:col>2</xdr:col>
          <xdr:colOff>704850</xdr:colOff>
          <xdr:row>44</xdr:row>
          <xdr:rowOff>161925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45</xdr:row>
          <xdr:rowOff>0</xdr:rowOff>
        </xdr:from>
        <xdr:to>
          <xdr:col>2</xdr:col>
          <xdr:colOff>704850</xdr:colOff>
          <xdr:row>45</xdr:row>
          <xdr:rowOff>161925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49</xdr:row>
          <xdr:rowOff>0</xdr:rowOff>
        </xdr:from>
        <xdr:to>
          <xdr:col>2</xdr:col>
          <xdr:colOff>704850</xdr:colOff>
          <xdr:row>49</xdr:row>
          <xdr:rowOff>171450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49</xdr:row>
          <xdr:rowOff>0</xdr:rowOff>
        </xdr:from>
        <xdr:to>
          <xdr:col>2</xdr:col>
          <xdr:colOff>704850</xdr:colOff>
          <xdr:row>49</xdr:row>
          <xdr:rowOff>161925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50</xdr:row>
          <xdr:rowOff>0</xdr:rowOff>
        </xdr:from>
        <xdr:to>
          <xdr:col>2</xdr:col>
          <xdr:colOff>704850</xdr:colOff>
          <xdr:row>50</xdr:row>
          <xdr:rowOff>161925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52</xdr:row>
          <xdr:rowOff>0</xdr:rowOff>
        </xdr:from>
        <xdr:to>
          <xdr:col>2</xdr:col>
          <xdr:colOff>704850</xdr:colOff>
          <xdr:row>52</xdr:row>
          <xdr:rowOff>161925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53</xdr:row>
          <xdr:rowOff>0</xdr:rowOff>
        </xdr:from>
        <xdr:to>
          <xdr:col>2</xdr:col>
          <xdr:colOff>704850</xdr:colOff>
          <xdr:row>53</xdr:row>
          <xdr:rowOff>161925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55</xdr:row>
          <xdr:rowOff>0</xdr:rowOff>
        </xdr:from>
        <xdr:to>
          <xdr:col>2</xdr:col>
          <xdr:colOff>704850</xdr:colOff>
          <xdr:row>55</xdr:row>
          <xdr:rowOff>161925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56</xdr:row>
          <xdr:rowOff>0</xdr:rowOff>
        </xdr:from>
        <xdr:to>
          <xdr:col>2</xdr:col>
          <xdr:colOff>704850</xdr:colOff>
          <xdr:row>56</xdr:row>
          <xdr:rowOff>161925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57</xdr:row>
          <xdr:rowOff>0</xdr:rowOff>
        </xdr:from>
        <xdr:to>
          <xdr:col>2</xdr:col>
          <xdr:colOff>704850</xdr:colOff>
          <xdr:row>57</xdr:row>
          <xdr:rowOff>161925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59</xdr:row>
          <xdr:rowOff>0</xdr:rowOff>
        </xdr:from>
        <xdr:to>
          <xdr:col>2</xdr:col>
          <xdr:colOff>704850</xdr:colOff>
          <xdr:row>59</xdr:row>
          <xdr:rowOff>161925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60</xdr:row>
          <xdr:rowOff>0</xdr:rowOff>
        </xdr:from>
        <xdr:to>
          <xdr:col>2</xdr:col>
          <xdr:colOff>704850</xdr:colOff>
          <xdr:row>60</xdr:row>
          <xdr:rowOff>161925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61</xdr:row>
          <xdr:rowOff>0</xdr:rowOff>
        </xdr:from>
        <xdr:to>
          <xdr:col>2</xdr:col>
          <xdr:colOff>704850</xdr:colOff>
          <xdr:row>61</xdr:row>
          <xdr:rowOff>161925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63</xdr:row>
          <xdr:rowOff>0</xdr:rowOff>
        </xdr:from>
        <xdr:to>
          <xdr:col>2</xdr:col>
          <xdr:colOff>704850</xdr:colOff>
          <xdr:row>63</xdr:row>
          <xdr:rowOff>161925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64</xdr:row>
          <xdr:rowOff>0</xdr:rowOff>
        </xdr:from>
        <xdr:to>
          <xdr:col>2</xdr:col>
          <xdr:colOff>704850</xdr:colOff>
          <xdr:row>64</xdr:row>
          <xdr:rowOff>161925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65</xdr:row>
          <xdr:rowOff>0</xdr:rowOff>
        </xdr:from>
        <xdr:to>
          <xdr:col>2</xdr:col>
          <xdr:colOff>704850</xdr:colOff>
          <xdr:row>65</xdr:row>
          <xdr:rowOff>171450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63</xdr:row>
          <xdr:rowOff>0</xdr:rowOff>
        </xdr:from>
        <xdr:to>
          <xdr:col>2</xdr:col>
          <xdr:colOff>704850</xdr:colOff>
          <xdr:row>63</xdr:row>
          <xdr:rowOff>161925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67</xdr:row>
          <xdr:rowOff>0</xdr:rowOff>
        </xdr:from>
        <xdr:to>
          <xdr:col>2</xdr:col>
          <xdr:colOff>704850</xdr:colOff>
          <xdr:row>67</xdr:row>
          <xdr:rowOff>161925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68</xdr:row>
          <xdr:rowOff>0</xdr:rowOff>
        </xdr:from>
        <xdr:to>
          <xdr:col>2</xdr:col>
          <xdr:colOff>704850</xdr:colOff>
          <xdr:row>68</xdr:row>
          <xdr:rowOff>161925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69</xdr:row>
          <xdr:rowOff>0</xdr:rowOff>
        </xdr:from>
        <xdr:to>
          <xdr:col>2</xdr:col>
          <xdr:colOff>704850</xdr:colOff>
          <xdr:row>69</xdr:row>
          <xdr:rowOff>161925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70</xdr:row>
          <xdr:rowOff>0</xdr:rowOff>
        </xdr:from>
        <xdr:to>
          <xdr:col>2</xdr:col>
          <xdr:colOff>704850</xdr:colOff>
          <xdr:row>70</xdr:row>
          <xdr:rowOff>161925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71</xdr:row>
          <xdr:rowOff>0</xdr:rowOff>
        </xdr:from>
        <xdr:to>
          <xdr:col>2</xdr:col>
          <xdr:colOff>704850</xdr:colOff>
          <xdr:row>71</xdr:row>
          <xdr:rowOff>161925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72</xdr:row>
          <xdr:rowOff>0</xdr:rowOff>
        </xdr:from>
        <xdr:to>
          <xdr:col>2</xdr:col>
          <xdr:colOff>704850</xdr:colOff>
          <xdr:row>72</xdr:row>
          <xdr:rowOff>161925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73</xdr:row>
          <xdr:rowOff>0</xdr:rowOff>
        </xdr:from>
        <xdr:to>
          <xdr:col>2</xdr:col>
          <xdr:colOff>704850</xdr:colOff>
          <xdr:row>73</xdr:row>
          <xdr:rowOff>161925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74</xdr:row>
          <xdr:rowOff>0</xdr:rowOff>
        </xdr:from>
        <xdr:to>
          <xdr:col>2</xdr:col>
          <xdr:colOff>704850</xdr:colOff>
          <xdr:row>74</xdr:row>
          <xdr:rowOff>161925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75</xdr:row>
          <xdr:rowOff>0</xdr:rowOff>
        </xdr:from>
        <xdr:to>
          <xdr:col>2</xdr:col>
          <xdr:colOff>704850</xdr:colOff>
          <xdr:row>75</xdr:row>
          <xdr:rowOff>171450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114300</xdr:rowOff>
        </xdr:from>
        <xdr:to>
          <xdr:col>15</xdr:col>
          <xdr:colOff>400050</xdr:colOff>
          <xdr:row>0</xdr:row>
          <xdr:rowOff>657225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東部全選択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695325</xdr:colOff>
          <xdr:row>0</xdr:row>
          <xdr:rowOff>133350</xdr:rowOff>
        </xdr:from>
        <xdr:to>
          <xdr:col>16</xdr:col>
          <xdr:colOff>704850</xdr:colOff>
          <xdr:row>0</xdr:row>
          <xdr:rowOff>676275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東部全解除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257175</xdr:colOff>
          <xdr:row>0</xdr:row>
          <xdr:rowOff>114300</xdr:rowOff>
        </xdr:from>
        <xdr:to>
          <xdr:col>18</xdr:col>
          <xdr:colOff>266700</xdr:colOff>
          <xdr:row>0</xdr:row>
          <xdr:rowOff>657225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関東全選択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0</xdr:row>
          <xdr:rowOff>76200</xdr:rowOff>
        </xdr:from>
        <xdr:to>
          <xdr:col>21</xdr:col>
          <xdr:colOff>38100</xdr:colOff>
          <xdr:row>0</xdr:row>
          <xdr:rowOff>619125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中部全選択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257175</xdr:colOff>
          <xdr:row>0</xdr:row>
          <xdr:rowOff>133350</xdr:rowOff>
        </xdr:from>
        <xdr:to>
          <xdr:col>24</xdr:col>
          <xdr:colOff>209550</xdr:colOff>
          <xdr:row>0</xdr:row>
          <xdr:rowOff>676275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関西全選択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180975</xdr:colOff>
          <xdr:row>0</xdr:row>
          <xdr:rowOff>114300</xdr:rowOff>
        </xdr:from>
        <xdr:to>
          <xdr:col>25</xdr:col>
          <xdr:colOff>390525</xdr:colOff>
          <xdr:row>0</xdr:row>
          <xdr:rowOff>657225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西部全選択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514350</xdr:colOff>
          <xdr:row>0</xdr:row>
          <xdr:rowOff>95250</xdr:rowOff>
        </xdr:from>
        <xdr:to>
          <xdr:col>19</xdr:col>
          <xdr:colOff>523875</xdr:colOff>
          <xdr:row>0</xdr:row>
          <xdr:rowOff>638175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関東全解除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180975</xdr:colOff>
          <xdr:row>0</xdr:row>
          <xdr:rowOff>114300</xdr:rowOff>
        </xdr:from>
        <xdr:to>
          <xdr:col>23</xdr:col>
          <xdr:colOff>114300</xdr:colOff>
          <xdr:row>0</xdr:row>
          <xdr:rowOff>657225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中部全解除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38100</xdr:rowOff>
        </xdr:from>
        <xdr:to>
          <xdr:col>3</xdr:col>
          <xdr:colOff>304800</xdr:colOff>
          <xdr:row>0</xdr:row>
          <xdr:rowOff>581025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店舗指定Mail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28575</xdr:rowOff>
        </xdr:from>
        <xdr:to>
          <xdr:col>5</xdr:col>
          <xdr:colOff>476250</xdr:colOff>
          <xdr:row>0</xdr:row>
          <xdr:rowOff>342900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38100</xdr:rowOff>
        </xdr:from>
        <xdr:to>
          <xdr:col>4</xdr:col>
          <xdr:colOff>381000</xdr:colOff>
          <xdr:row>0</xdr:row>
          <xdr:rowOff>352425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全選択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54</xdr:row>
          <xdr:rowOff>19050</xdr:rowOff>
        </xdr:from>
        <xdr:to>
          <xdr:col>2</xdr:col>
          <xdr:colOff>695325</xdr:colOff>
          <xdr:row>54</xdr:row>
          <xdr:rowOff>180975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</xdr:row>
          <xdr:rowOff>0</xdr:rowOff>
        </xdr:from>
        <xdr:to>
          <xdr:col>2</xdr:col>
          <xdr:colOff>704850</xdr:colOff>
          <xdr:row>7</xdr:row>
          <xdr:rowOff>161925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26</xdr:row>
          <xdr:rowOff>0</xdr:rowOff>
        </xdr:from>
        <xdr:to>
          <xdr:col>2</xdr:col>
          <xdr:colOff>704850</xdr:colOff>
          <xdr:row>26</xdr:row>
          <xdr:rowOff>161925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33</xdr:row>
          <xdr:rowOff>0</xdr:rowOff>
        </xdr:from>
        <xdr:to>
          <xdr:col>2</xdr:col>
          <xdr:colOff>704850</xdr:colOff>
          <xdr:row>33</xdr:row>
          <xdr:rowOff>161925</xdr:rowOff>
        </xdr:to>
        <xdr:sp macro="" textlink="">
          <xdr:nvSpPr>
            <xdr:cNvPr id="2135" name="Check Box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40</xdr:row>
          <xdr:rowOff>0</xdr:rowOff>
        </xdr:from>
        <xdr:to>
          <xdr:col>2</xdr:col>
          <xdr:colOff>704850</xdr:colOff>
          <xdr:row>40</xdr:row>
          <xdr:rowOff>161925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20</xdr:row>
          <xdr:rowOff>0</xdr:rowOff>
        </xdr:from>
        <xdr:to>
          <xdr:col>2</xdr:col>
          <xdr:colOff>704850</xdr:colOff>
          <xdr:row>20</xdr:row>
          <xdr:rowOff>161925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38</xdr:row>
          <xdr:rowOff>0</xdr:rowOff>
        </xdr:from>
        <xdr:to>
          <xdr:col>2</xdr:col>
          <xdr:colOff>704850</xdr:colOff>
          <xdr:row>38</xdr:row>
          <xdr:rowOff>161925</xdr:rowOff>
        </xdr:to>
        <xdr:sp macro="" textlink="">
          <xdr:nvSpPr>
            <xdr:cNvPr id="2138" name="Check Box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76</xdr:row>
          <xdr:rowOff>0</xdr:rowOff>
        </xdr:from>
        <xdr:to>
          <xdr:col>2</xdr:col>
          <xdr:colOff>704850</xdr:colOff>
          <xdr:row>76</xdr:row>
          <xdr:rowOff>171450</xdr:rowOff>
        </xdr:to>
        <xdr:sp macro="" textlink="">
          <xdr:nvSpPr>
            <xdr:cNvPr id="2139" name="Check Box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65</xdr:row>
          <xdr:rowOff>180975</xdr:rowOff>
        </xdr:from>
        <xdr:to>
          <xdr:col>2</xdr:col>
          <xdr:colOff>704850</xdr:colOff>
          <xdr:row>66</xdr:row>
          <xdr:rowOff>152400</xdr:rowOff>
        </xdr:to>
        <xdr:sp macro="" textlink="">
          <xdr:nvSpPr>
            <xdr:cNvPr id="2140" name="Check Box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51</xdr:row>
          <xdr:rowOff>0</xdr:rowOff>
        </xdr:from>
        <xdr:to>
          <xdr:col>2</xdr:col>
          <xdr:colOff>695325</xdr:colOff>
          <xdr:row>51</xdr:row>
          <xdr:rowOff>171450</xdr:rowOff>
        </xdr:to>
        <xdr:sp macro="" textlink="">
          <xdr:nvSpPr>
            <xdr:cNvPr id="2141" name="Check Box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48</xdr:row>
          <xdr:rowOff>0</xdr:rowOff>
        </xdr:from>
        <xdr:to>
          <xdr:col>2</xdr:col>
          <xdr:colOff>704850</xdr:colOff>
          <xdr:row>48</xdr:row>
          <xdr:rowOff>161925</xdr:rowOff>
        </xdr:to>
        <xdr:sp macro="" textlink="">
          <xdr:nvSpPr>
            <xdr:cNvPr id="2175" name="Check Box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77</xdr:row>
          <xdr:rowOff>0</xdr:rowOff>
        </xdr:from>
        <xdr:to>
          <xdr:col>2</xdr:col>
          <xdr:colOff>704850</xdr:colOff>
          <xdr:row>77</xdr:row>
          <xdr:rowOff>161925</xdr:rowOff>
        </xdr:to>
        <xdr:sp macro="" textlink="">
          <xdr:nvSpPr>
            <xdr:cNvPr id="2176" name="Check Box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79</xdr:row>
          <xdr:rowOff>0</xdr:rowOff>
        </xdr:from>
        <xdr:to>
          <xdr:col>2</xdr:col>
          <xdr:colOff>704850</xdr:colOff>
          <xdr:row>79</xdr:row>
          <xdr:rowOff>161925</xdr:rowOff>
        </xdr:to>
        <xdr:sp macro="" textlink="">
          <xdr:nvSpPr>
            <xdr:cNvPr id="2177" name="Check Box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78</xdr:row>
          <xdr:rowOff>0</xdr:rowOff>
        </xdr:from>
        <xdr:to>
          <xdr:col>2</xdr:col>
          <xdr:colOff>704850</xdr:colOff>
          <xdr:row>78</xdr:row>
          <xdr:rowOff>161925</xdr:rowOff>
        </xdr:to>
        <xdr:sp macro="" textlink="">
          <xdr:nvSpPr>
            <xdr:cNvPr id="2178" name="Check Box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80</xdr:row>
          <xdr:rowOff>0</xdr:rowOff>
        </xdr:from>
        <xdr:to>
          <xdr:col>2</xdr:col>
          <xdr:colOff>704850</xdr:colOff>
          <xdr:row>80</xdr:row>
          <xdr:rowOff>161925</xdr:rowOff>
        </xdr:to>
        <xdr:sp macro="" textlink="">
          <xdr:nvSpPr>
            <xdr:cNvPr id="2179" name="Check Box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46</xdr:row>
          <xdr:rowOff>0</xdr:rowOff>
        </xdr:from>
        <xdr:to>
          <xdr:col>2</xdr:col>
          <xdr:colOff>704850</xdr:colOff>
          <xdr:row>46</xdr:row>
          <xdr:rowOff>161925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26</xdr:row>
          <xdr:rowOff>0</xdr:rowOff>
        </xdr:from>
        <xdr:to>
          <xdr:col>2</xdr:col>
          <xdr:colOff>704850</xdr:colOff>
          <xdr:row>26</xdr:row>
          <xdr:rowOff>161925</xdr:rowOff>
        </xdr:to>
        <xdr:sp macro="" textlink="">
          <xdr:nvSpPr>
            <xdr:cNvPr id="2181" name="Check Box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26</xdr:row>
          <xdr:rowOff>0</xdr:rowOff>
        </xdr:from>
        <xdr:to>
          <xdr:col>2</xdr:col>
          <xdr:colOff>704850</xdr:colOff>
          <xdr:row>26</xdr:row>
          <xdr:rowOff>161925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29</xdr:row>
          <xdr:rowOff>0</xdr:rowOff>
        </xdr:from>
        <xdr:to>
          <xdr:col>2</xdr:col>
          <xdr:colOff>704850</xdr:colOff>
          <xdr:row>29</xdr:row>
          <xdr:rowOff>161925</xdr:rowOff>
        </xdr:to>
        <xdr:sp macro="" textlink="">
          <xdr:nvSpPr>
            <xdr:cNvPr id="2183" name="Check Box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30</xdr:row>
          <xdr:rowOff>0</xdr:rowOff>
        </xdr:from>
        <xdr:to>
          <xdr:col>2</xdr:col>
          <xdr:colOff>704850</xdr:colOff>
          <xdr:row>30</xdr:row>
          <xdr:rowOff>161925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31</xdr:row>
          <xdr:rowOff>0</xdr:rowOff>
        </xdr:from>
        <xdr:to>
          <xdr:col>2</xdr:col>
          <xdr:colOff>704850</xdr:colOff>
          <xdr:row>31</xdr:row>
          <xdr:rowOff>161925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32</xdr:row>
          <xdr:rowOff>0</xdr:rowOff>
        </xdr:from>
        <xdr:to>
          <xdr:col>2</xdr:col>
          <xdr:colOff>704850</xdr:colOff>
          <xdr:row>32</xdr:row>
          <xdr:rowOff>161925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33</xdr:row>
          <xdr:rowOff>0</xdr:rowOff>
        </xdr:from>
        <xdr:to>
          <xdr:col>2</xdr:col>
          <xdr:colOff>704850</xdr:colOff>
          <xdr:row>33</xdr:row>
          <xdr:rowOff>161925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34</xdr:row>
          <xdr:rowOff>0</xdr:rowOff>
        </xdr:from>
        <xdr:to>
          <xdr:col>2</xdr:col>
          <xdr:colOff>704850</xdr:colOff>
          <xdr:row>34</xdr:row>
          <xdr:rowOff>161925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35</xdr:row>
          <xdr:rowOff>0</xdr:rowOff>
        </xdr:from>
        <xdr:to>
          <xdr:col>2</xdr:col>
          <xdr:colOff>704850</xdr:colOff>
          <xdr:row>35</xdr:row>
          <xdr:rowOff>161925</xdr:rowOff>
        </xdr:to>
        <xdr:sp macro="" textlink="">
          <xdr:nvSpPr>
            <xdr:cNvPr id="2189" name="Check Box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36</xdr:row>
          <xdr:rowOff>0</xdr:rowOff>
        </xdr:from>
        <xdr:to>
          <xdr:col>2</xdr:col>
          <xdr:colOff>704850</xdr:colOff>
          <xdr:row>36</xdr:row>
          <xdr:rowOff>161925</xdr:rowOff>
        </xdr:to>
        <xdr:sp macro="" textlink="">
          <xdr:nvSpPr>
            <xdr:cNvPr id="2190" name="Check Box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37</xdr:row>
          <xdr:rowOff>0</xdr:rowOff>
        </xdr:from>
        <xdr:to>
          <xdr:col>2</xdr:col>
          <xdr:colOff>704850</xdr:colOff>
          <xdr:row>37</xdr:row>
          <xdr:rowOff>161925</xdr:rowOff>
        </xdr:to>
        <xdr:sp macro="" textlink="">
          <xdr:nvSpPr>
            <xdr:cNvPr id="2191" name="Check Box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39</xdr:row>
          <xdr:rowOff>0</xdr:rowOff>
        </xdr:from>
        <xdr:to>
          <xdr:col>2</xdr:col>
          <xdr:colOff>704850</xdr:colOff>
          <xdr:row>39</xdr:row>
          <xdr:rowOff>161925</xdr:rowOff>
        </xdr:to>
        <xdr:sp macro="" textlink="">
          <xdr:nvSpPr>
            <xdr:cNvPr id="2193" name="Check Box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40</xdr:row>
          <xdr:rowOff>0</xdr:rowOff>
        </xdr:from>
        <xdr:to>
          <xdr:col>2</xdr:col>
          <xdr:colOff>704850</xdr:colOff>
          <xdr:row>40</xdr:row>
          <xdr:rowOff>161925</xdr:rowOff>
        </xdr:to>
        <xdr:sp macro="" textlink="">
          <xdr:nvSpPr>
            <xdr:cNvPr id="2194" name="Check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41</xdr:row>
          <xdr:rowOff>0</xdr:rowOff>
        </xdr:from>
        <xdr:to>
          <xdr:col>2</xdr:col>
          <xdr:colOff>704850</xdr:colOff>
          <xdr:row>41</xdr:row>
          <xdr:rowOff>161925</xdr:rowOff>
        </xdr:to>
        <xdr:sp macro="" textlink="">
          <xdr:nvSpPr>
            <xdr:cNvPr id="2195" name="Check Box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42</xdr:row>
          <xdr:rowOff>0</xdr:rowOff>
        </xdr:from>
        <xdr:to>
          <xdr:col>2</xdr:col>
          <xdr:colOff>704850</xdr:colOff>
          <xdr:row>42</xdr:row>
          <xdr:rowOff>161925</xdr:rowOff>
        </xdr:to>
        <xdr:sp macro="" textlink="">
          <xdr:nvSpPr>
            <xdr:cNvPr id="2196" name="Check Box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43</xdr:row>
          <xdr:rowOff>0</xdr:rowOff>
        </xdr:from>
        <xdr:to>
          <xdr:col>2</xdr:col>
          <xdr:colOff>704850</xdr:colOff>
          <xdr:row>43</xdr:row>
          <xdr:rowOff>161925</xdr:rowOff>
        </xdr:to>
        <xdr:sp macro="" textlink="">
          <xdr:nvSpPr>
            <xdr:cNvPr id="2197" name="Check Box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44</xdr:row>
          <xdr:rowOff>0</xdr:rowOff>
        </xdr:from>
        <xdr:to>
          <xdr:col>2</xdr:col>
          <xdr:colOff>704850</xdr:colOff>
          <xdr:row>44</xdr:row>
          <xdr:rowOff>161925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45</xdr:row>
          <xdr:rowOff>0</xdr:rowOff>
        </xdr:from>
        <xdr:to>
          <xdr:col>2</xdr:col>
          <xdr:colOff>704850</xdr:colOff>
          <xdr:row>45</xdr:row>
          <xdr:rowOff>161925</xdr:rowOff>
        </xdr:to>
        <xdr:sp macro="" textlink="">
          <xdr:nvSpPr>
            <xdr:cNvPr id="2199" name="Check Box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46</xdr:row>
          <xdr:rowOff>0</xdr:rowOff>
        </xdr:from>
        <xdr:to>
          <xdr:col>2</xdr:col>
          <xdr:colOff>704850</xdr:colOff>
          <xdr:row>46</xdr:row>
          <xdr:rowOff>161925</xdr:rowOff>
        </xdr:to>
        <xdr:sp macro="" textlink="">
          <xdr:nvSpPr>
            <xdr:cNvPr id="2200" name="Check Box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48</xdr:row>
          <xdr:rowOff>0</xdr:rowOff>
        </xdr:from>
        <xdr:to>
          <xdr:col>2</xdr:col>
          <xdr:colOff>704850</xdr:colOff>
          <xdr:row>48</xdr:row>
          <xdr:rowOff>161925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49</xdr:row>
          <xdr:rowOff>0</xdr:rowOff>
        </xdr:from>
        <xdr:to>
          <xdr:col>2</xdr:col>
          <xdr:colOff>704850</xdr:colOff>
          <xdr:row>49</xdr:row>
          <xdr:rowOff>161925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52</xdr:row>
          <xdr:rowOff>0</xdr:rowOff>
        </xdr:from>
        <xdr:to>
          <xdr:col>2</xdr:col>
          <xdr:colOff>704850</xdr:colOff>
          <xdr:row>52</xdr:row>
          <xdr:rowOff>161925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53</xdr:row>
          <xdr:rowOff>0</xdr:rowOff>
        </xdr:from>
        <xdr:to>
          <xdr:col>2</xdr:col>
          <xdr:colOff>704850</xdr:colOff>
          <xdr:row>53</xdr:row>
          <xdr:rowOff>161925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55</xdr:row>
          <xdr:rowOff>0</xdr:rowOff>
        </xdr:from>
        <xdr:to>
          <xdr:col>2</xdr:col>
          <xdr:colOff>704850</xdr:colOff>
          <xdr:row>55</xdr:row>
          <xdr:rowOff>161925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56</xdr:row>
          <xdr:rowOff>0</xdr:rowOff>
        </xdr:from>
        <xdr:to>
          <xdr:col>2</xdr:col>
          <xdr:colOff>704850</xdr:colOff>
          <xdr:row>56</xdr:row>
          <xdr:rowOff>161925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57</xdr:row>
          <xdr:rowOff>0</xdr:rowOff>
        </xdr:from>
        <xdr:to>
          <xdr:col>2</xdr:col>
          <xdr:colOff>704850</xdr:colOff>
          <xdr:row>57</xdr:row>
          <xdr:rowOff>161925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59</xdr:row>
          <xdr:rowOff>0</xdr:rowOff>
        </xdr:from>
        <xdr:to>
          <xdr:col>2</xdr:col>
          <xdr:colOff>704850</xdr:colOff>
          <xdr:row>59</xdr:row>
          <xdr:rowOff>161925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60</xdr:row>
          <xdr:rowOff>0</xdr:rowOff>
        </xdr:from>
        <xdr:to>
          <xdr:col>2</xdr:col>
          <xdr:colOff>704850</xdr:colOff>
          <xdr:row>60</xdr:row>
          <xdr:rowOff>161925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61</xdr:row>
          <xdr:rowOff>0</xdr:rowOff>
        </xdr:from>
        <xdr:to>
          <xdr:col>2</xdr:col>
          <xdr:colOff>704850</xdr:colOff>
          <xdr:row>61</xdr:row>
          <xdr:rowOff>161925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63</xdr:row>
          <xdr:rowOff>0</xdr:rowOff>
        </xdr:from>
        <xdr:to>
          <xdr:col>2</xdr:col>
          <xdr:colOff>704850</xdr:colOff>
          <xdr:row>63</xdr:row>
          <xdr:rowOff>161925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64</xdr:row>
          <xdr:rowOff>0</xdr:rowOff>
        </xdr:from>
        <xdr:to>
          <xdr:col>2</xdr:col>
          <xdr:colOff>704850</xdr:colOff>
          <xdr:row>64</xdr:row>
          <xdr:rowOff>161925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65</xdr:row>
          <xdr:rowOff>0</xdr:rowOff>
        </xdr:from>
        <xdr:to>
          <xdr:col>2</xdr:col>
          <xdr:colOff>704850</xdr:colOff>
          <xdr:row>65</xdr:row>
          <xdr:rowOff>161925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67</xdr:row>
          <xdr:rowOff>0</xdr:rowOff>
        </xdr:from>
        <xdr:to>
          <xdr:col>2</xdr:col>
          <xdr:colOff>704850</xdr:colOff>
          <xdr:row>67</xdr:row>
          <xdr:rowOff>161925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68</xdr:row>
          <xdr:rowOff>0</xdr:rowOff>
        </xdr:from>
        <xdr:to>
          <xdr:col>2</xdr:col>
          <xdr:colOff>704850</xdr:colOff>
          <xdr:row>68</xdr:row>
          <xdr:rowOff>161925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69</xdr:row>
          <xdr:rowOff>0</xdr:rowOff>
        </xdr:from>
        <xdr:to>
          <xdr:col>2</xdr:col>
          <xdr:colOff>704850</xdr:colOff>
          <xdr:row>69</xdr:row>
          <xdr:rowOff>161925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70</xdr:row>
          <xdr:rowOff>0</xdr:rowOff>
        </xdr:from>
        <xdr:to>
          <xdr:col>2</xdr:col>
          <xdr:colOff>704850</xdr:colOff>
          <xdr:row>70</xdr:row>
          <xdr:rowOff>161925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71</xdr:row>
          <xdr:rowOff>0</xdr:rowOff>
        </xdr:from>
        <xdr:to>
          <xdr:col>2</xdr:col>
          <xdr:colOff>704850</xdr:colOff>
          <xdr:row>71</xdr:row>
          <xdr:rowOff>161925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73</xdr:row>
          <xdr:rowOff>0</xdr:rowOff>
        </xdr:from>
        <xdr:to>
          <xdr:col>2</xdr:col>
          <xdr:colOff>704850</xdr:colOff>
          <xdr:row>73</xdr:row>
          <xdr:rowOff>161925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74</xdr:row>
          <xdr:rowOff>0</xdr:rowOff>
        </xdr:from>
        <xdr:to>
          <xdr:col>2</xdr:col>
          <xdr:colOff>704850</xdr:colOff>
          <xdr:row>74</xdr:row>
          <xdr:rowOff>161925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75</xdr:row>
          <xdr:rowOff>0</xdr:rowOff>
        </xdr:from>
        <xdr:to>
          <xdr:col>2</xdr:col>
          <xdr:colOff>704850</xdr:colOff>
          <xdr:row>75</xdr:row>
          <xdr:rowOff>161925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76</xdr:row>
          <xdr:rowOff>0</xdr:rowOff>
        </xdr:from>
        <xdr:to>
          <xdr:col>2</xdr:col>
          <xdr:colOff>704850</xdr:colOff>
          <xdr:row>76</xdr:row>
          <xdr:rowOff>161925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77</xdr:row>
          <xdr:rowOff>0</xdr:rowOff>
        </xdr:from>
        <xdr:to>
          <xdr:col>2</xdr:col>
          <xdr:colOff>704850</xdr:colOff>
          <xdr:row>77</xdr:row>
          <xdr:rowOff>161925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79</xdr:row>
          <xdr:rowOff>0</xdr:rowOff>
        </xdr:from>
        <xdr:to>
          <xdr:col>2</xdr:col>
          <xdr:colOff>704850</xdr:colOff>
          <xdr:row>79</xdr:row>
          <xdr:rowOff>161925</xdr:rowOff>
        </xdr:to>
        <xdr:sp macro="" textlink="">
          <xdr:nvSpPr>
            <xdr:cNvPr id="2229" name="Check Box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78</xdr:row>
          <xdr:rowOff>0</xdr:rowOff>
        </xdr:from>
        <xdr:to>
          <xdr:col>2</xdr:col>
          <xdr:colOff>704850</xdr:colOff>
          <xdr:row>78</xdr:row>
          <xdr:rowOff>161925</xdr:rowOff>
        </xdr:to>
        <xdr:sp macro="" textlink="">
          <xdr:nvSpPr>
            <xdr:cNvPr id="2230" name="Check Box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80</xdr:row>
          <xdr:rowOff>0</xdr:rowOff>
        </xdr:from>
        <xdr:to>
          <xdr:col>2</xdr:col>
          <xdr:colOff>704850</xdr:colOff>
          <xdr:row>80</xdr:row>
          <xdr:rowOff>161925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81</xdr:row>
          <xdr:rowOff>0</xdr:rowOff>
        </xdr:from>
        <xdr:to>
          <xdr:col>2</xdr:col>
          <xdr:colOff>704850</xdr:colOff>
          <xdr:row>81</xdr:row>
          <xdr:rowOff>161925</xdr:rowOff>
        </xdr:to>
        <xdr:sp macro="" textlink="">
          <xdr:nvSpPr>
            <xdr:cNvPr id="2232" name="Check Box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81</xdr:row>
          <xdr:rowOff>0</xdr:rowOff>
        </xdr:from>
        <xdr:to>
          <xdr:col>2</xdr:col>
          <xdr:colOff>704850</xdr:colOff>
          <xdr:row>81</xdr:row>
          <xdr:rowOff>161925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82</xdr:row>
          <xdr:rowOff>0</xdr:rowOff>
        </xdr:from>
        <xdr:to>
          <xdr:col>2</xdr:col>
          <xdr:colOff>704850</xdr:colOff>
          <xdr:row>82</xdr:row>
          <xdr:rowOff>161925</xdr:rowOff>
        </xdr:to>
        <xdr:sp macro="" textlink="">
          <xdr:nvSpPr>
            <xdr:cNvPr id="2234" name="Check Box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82</xdr:row>
          <xdr:rowOff>0</xdr:rowOff>
        </xdr:from>
        <xdr:to>
          <xdr:col>2</xdr:col>
          <xdr:colOff>704850</xdr:colOff>
          <xdr:row>82</xdr:row>
          <xdr:rowOff>161925</xdr:rowOff>
        </xdr:to>
        <xdr:sp macro="" textlink="">
          <xdr:nvSpPr>
            <xdr:cNvPr id="2235" name="Check Box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16</xdr:row>
          <xdr:rowOff>0</xdr:rowOff>
        </xdr:from>
        <xdr:to>
          <xdr:col>2</xdr:col>
          <xdr:colOff>704850</xdr:colOff>
          <xdr:row>16</xdr:row>
          <xdr:rowOff>161925</xdr:rowOff>
        </xdr:to>
        <xdr:sp macro="" textlink="">
          <xdr:nvSpPr>
            <xdr:cNvPr id="2236" name="Check Box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16</xdr:row>
          <xdr:rowOff>0</xdr:rowOff>
        </xdr:from>
        <xdr:to>
          <xdr:col>2</xdr:col>
          <xdr:colOff>704850</xdr:colOff>
          <xdr:row>16</xdr:row>
          <xdr:rowOff>161925</xdr:rowOff>
        </xdr:to>
        <xdr:sp macro="" textlink="">
          <xdr:nvSpPr>
            <xdr:cNvPr id="2237" name="Check Box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19</xdr:row>
          <xdr:rowOff>0</xdr:rowOff>
        </xdr:from>
        <xdr:to>
          <xdr:col>2</xdr:col>
          <xdr:colOff>704850</xdr:colOff>
          <xdr:row>19</xdr:row>
          <xdr:rowOff>161925</xdr:rowOff>
        </xdr:to>
        <xdr:sp macro="" textlink="">
          <xdr:nvSpPr>
            <xdr:cNvPr id="2239" name="Check Box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23</xdr:row>
          <xdr:rowOff>0</xdr:rowOff>
        </xdr:from>
        <xdr:to>
          <xdr:col>2</xdr:col>
          <xdr:colOff>704850</xdr:colOff>
          <xdr:row>23</xdr:row>
          <xdr:rowOff>161925</xdr:rowOff>
        </xdr:to>
        <xdr:sp macro="" textlink="">
          <xdr:nvSpPr>
            <xdr:cNvPr id="2240" name="Check Box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27</xdr:row>
          <xdr:rowOff>0</xdr:rowOff>
        </xdr:from>
        <xdr:to>
          <xdr:col>2</xdr:col>
          <xdr:colOff>704850</xdr:colOff>
          <xdr:row>27</xdr:row>
          <xdr:rowOff>161925</xdr:rowOff>
        </xdr:to>
        <xdr:sp macro="" textlink="">
          <xdr:nvSpPr>
            <xdr:cNvPr id="2241" name="Check Box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27</xdr:row>
          <xdr:rowOff>0</xdr:rowOff>
        </xdr:from>
        <xdr:to>
          <xdr:col>2</xdr:col>
          <xdr:colOff>704850</xdr:colOff>
          <xdr:row>27</xdr:row>
          <xdr:rowOff>161925</xdr:rowOff>
        </xdr:to>
        <xdr:sp macro="" textlink="">
          <xdr:nvSpPr>
            <xdr:cNvPr id="2242" name="Check Box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28</xdr:row>
          <xdr:rowOff>0</xdr:rowOff>
        </xdr:from>
        <xdr:to>
          <xdr:col>2</xdr:col>
          <xdr:colOff>704850</xdr:colOff>
          <xdr:row>28</xdr:row>
          <xdr:rowOff>161925</xdr:rowOff>
        </xdr:to>
        <xdr:sp macro="" textlink="">
          <xdr:nvSpPr>
            <xdr:cNvPr id="2243" name="Check Box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28</xdr:row>
          <xdr:rowOff>0</xdr:rowOff>
        </xdr:from>
        <xdr:to>
          <xdr:col>2</xdr:col>
          <xdr:colOff>704850</xdr:colOff>
          <xdr:row>28</xdr:row>
          <xdr:rowOff>161925</xdr:rowOff>
        </xdr:to>
        <xdr:sp macro="" textlink="">
          <xdr:nvSpPr>
            <xdr:cNvPr id="2244" name="Check Box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47</xdr:row>
          <xdr:rowOff>0</xdr:rowOff>
        </xdr:from>
        <xdr:to>
          <xdr:col>2</xdr:col>
          <xdr:colOff>704850</xdr:colOff>
          <xdr:row>47</xdr:row>
          <xdr:rowOff>161925</xdr:rowOff>
        </xdr:to>
        <xdr:sp macro="" textlink="">
          <xdr:nvSpPr>
            <xdr:cNvPr id="2245" name="Check Box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47</xdr:row>
          <xdr:rowOff>0</xdr:rowOff>
        </xdr:from>
        <xdr:to>
          <xdr:col>2</xdr:col>
          <xdr:colOff>704850</xdr:colOff>
          <xdr:row>47</xdr:row>
          <xdr:rowOff>161925</xdr:rowOff>
        </xdr:to>
        <xdr:sp macro="" textlink="">
          <xdr:nvSpPr>
            <xdr:cNvPr id="2246" name="Check Box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47</xdr:row>
          <xdr:rowOff>0</xdr:rowOff>
        </xdr:from>
        <xdr:to>
          <xdr:col>2</xdr:col>
          <xdr:colOff>704850</xdr:colOff>
          <xdr:row>47</xdr:row>
          <xdr:rowOff>161925</xdr:rowOff>
        </xdr:to>
        <xdr:sp macro="" textlink="">
          <xdr:nvSpPr>
            <xdr:cNvPr id="2247" name="Check Box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47</xdr:row>
          <xdr:rowOff>0</xdr:rowOff>
        </xdr:from>
        <xdr:to>
          <xdr:col>2</xdr:col>
          <xdr:colOff>704850</xdr:colOff>
          <xdr:row>47</xdr:row>
          <xdr:rowOff>161925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58</xdr:row>
          <xdr:rowOff>0</xdr:rowOff>
        </xdr:from>
        <xdr:to>
          <xdr:col>2</xdr:col>
          <xdr:colOff>704850</xdr:colOff>
          <xdr:row>58</xdr:row>
          <xdr:rowOff>161925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58</xdr:row>
          <xdr:rowOff>0</xdr:rowOff>
        </xdr:from>
        <xdr:to>
          <xdr:col>2</xdr:col>
          <xdr:colOff>704850</xdr:colOff>
          <xdr:row>58</xdr:row>
          <xdr:rowOff>161925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62</xdr:row>
          <xdr:rowOff>0</xdr:rowOff>
        </xdr:from>
        <xdr:to>
          <xdr:col>2</xdr:col>
          <xdr:colOff>704850</xdr:colOff>
          <xdr:row>62</xdr:row>
          <xdr:rowOff>161925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62</xdr:row>
          <xdr:rowOff>0</xdr:rowOff>
        </xdr:from>
        <xdr:to>
          <xdr:col>2</xdr:col>
          <xdr:colOff>704850</xdr:colOff>
          <xdr:row>62</xdr:row>
          <xdr:rowOff>161925</xdr:rowOff>
        </xdr:to>
        <xdr:sp macro="" textlink="">
          <xdr:nvSpPr>
            <xdr:cNvPr id="2252" name="Check Box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83</xdr:row>
          <xdr:rowOff>0</xdr:rowOff>
        </xdr:from>
        <xdr:to>
          <xdr:col>2</xdr:col>
          <xdr:colOff>704850</xdr:colOff>
          <xdr:row>83</xdr:row>
          <xdr:rowOff>161925</xdr:rowOff>
        </xdr:to>
        <xdr:sp macro="" textlink="">
          <xdr:nvSpPr>
            <xdr:cNvPr id="2254" name="Check Box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84</xdr:row>
          <xdr:rowOff>0</xdr:rowOff>
        </xdr:from>
        <xdr:to>
          <xdr:col>2</xdr:col>
          <xdr:colOff>704850</xdr:colOff>
          <xdr:row>84</xdr:row>
          <xdr:rowOff>161925</xdr:rowOff>
        </xdr:to>
        <xdr:sp macro="" textlink="">
          <xdr:nvSpPr>
            <xdr:cNvPr id="2255" name="Check Box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85</xdr:row>
          <xdr:rowOff>0</xdr:rowOff>
        </xdr:from>
        <xdr:to>
          <xdr:col>2</xdr:col>
          <xdr:colOff>704850</xdr:colOff>
          <xdr:row>85</xdr:row>
          <xdr:rowOff>161925</xdr:rowOff>
        </xdr:to>
        <xdr:sp macro="" textlink="">
          <xdr:nvSpPr>
            <xdr:cNvPr id="2256" name="Check Box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86</xdr:row>
          <xdr:rowOff>0</xdr:rowOff>
        </xdr:from>
        <xdr:to>
          <xdr:col>2</xdr:col>
          <xdr:colOff>704850</xdr:colOff>
          <xdr:row>86</xdr:row>
          <xdr:rowOff>161925</xdr:rowOff>
        </xdr:to>
        <xdr:sp macro="" textlink="">
          <xdr:nvSpPr>
            <xdr:cNvPr id="2257" name="Check Box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87</xdr:row>
          <xdr:rowOff>0</xdr:rowOff>
        </xdr:from>
        <xdr:to>
          <xdr:col>2</xdr:col>
          <xdr:colOff>704850</xdr:colOff>
          <xdr:row>87</xdr:row>
          <xdr:rowOff>161925</xdr:rowOff>
        </xdr:to>
        <xdr:sp macro="" textlink="">
          <xdr:nvSpPr>
            <xdr:cNvPr id="2258" name="Check Box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88</xdr:row>
          <xdr:rowOff>0</xdr:rowOff>
        </xdr:from>
        <xdr:to>
          <xdr:col>2</xdr:col>
          <xdr:colOff>704850</xdr:colOff>
          <xdr:row>88</xdr:row>
          <xdr:rowOff>161925</xdr:rowOff>
        </xdr:to>
        <xdr:sp macro="" textlink="">
          <xdr:nvSpPr>
            <xdr:cNvPr id="2259" name="Check Box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</xdr:row>
          <xdr:rowOff>0</xdr:rowOff>
        </xdr:from>
        <xdr:to>
          <xdr:col>2</xdr:col>
          <xdr:colOff>704850</xdr:colOff>
          <xdr:row>3</xdr:row>
          <xdr:rowOff>161925</xdr:rowOff>
        </xdr:to>
        <xdr:sp macro="" textlink="">
          <xdr:nvSpPr>
            <xdr:cNvPr id="2260" name="Check Box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83</xdr:row>
          <xdr:rowOff>0</xdr:rowOff>
        </xdr:from>
        <xdr:to>
          <xdr:col>2</xdr:col>
          <xdr:colOff>704850</xdr:colOff>
          <xdr:row>83</xdr:row>
          <xdr:rowOff>161925</xdr:rowOff>
        </xdr:to>
        <xdr:sp macro="" textlink="">
          <xdr:nvSpPr>
            <xdr:cNvPr id="2261" name="Check Box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83</xdr:row>
          <xdr:rowOff>0</xdr:rowOff>
        </xdr:from>
        <xdr:to>
          <xdr:col>2</xdr:col>
          <xdr:colOff>704850</xdr:colOff>
          <xdr:row>83</xdr:row>
          <xdr:rowOff>161925</xdr:rowOff>
        </xdr:to>
        <xdr:sp macro="" textlink="">
          <xdr:nvSpPr>
            <xdr:cNvPr id="2262" name="Check Box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84</xdr:row>
          <xdr:rowOff>0</xdr:rowOff>
        </xdr:from>
        <xdr:to>
          <xdr:col>2</xdr:col>
          <xdr:colOff>704850</xdr:colOff>
          <xdr:row>84</xdr:row>
          <xdr:rowOff>161925</xdr:rowOff>
        </xdr:to>
        <xdr:sp macro="" textlink="">
          <xdr:nvSpPr>
            <xdr:cNvPr id="2263" name="Check Box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84</xdr:row>
          <xdr:rowOff>0</xdr:rowOff>
        </xdr:from>
        <xdr:to>
          <xdr:col>2</xdr:col>
          <xdr:colOff>704850</xdr:colOff>
          <xdr:row>84</xdr:row>
          <xdr:rowOff>161925</xdr:rowOff>
        </xdr:to>
        <xdr:sp macro="" textlink="">
          <xdr:nvSpPr>
            <xdr:cNvPr id="2264" name="Check Box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85</xdr:row>
          <xdr:rowOff>0</xdr:rowOff>
        </xdr:from>
        <xdr:to>
          <xdr:col>2</xdr:col>
          <xdr:colOff>704850</xdr:colOff>
          <xdr:row>85</xdr:row>
          <xdr:rowOff>161925</xdr:rowOff>
        </xdr:to>
        <xdr:sp macro="" textlink="">
          <xdr:nvSpPr>
            <xdr:cNvPr id="2265" name="Check Box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85</xdr:row>
          <xdr:rowOff>0</xdr:rowOff>
        </xdr:from>
        <xdr:to>
          <xdr:col>2</xdr:col>
          <xdr:colOff>704850</xdr:colOff>
          <xdr:row>85</xdr:row>
          <xdr:rowOff>161925</xdr:rowOff>
        </xdr:to>
        <xdr:sp macro="" textlink="">
          <xdr:nvSpPr>
            <xdr:cNvPr id="2266" name="Check Box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86</xdr:row>
          <xdr:rowOff>0</xdr:rowOff>
        </xdr:from>
        <xdr:to>
          <xdr:col>2</xdr:col>
          <xdr:colOff>704850</xdr:colOff>
          <xdr:row>86</xdr:row>
          <xdr:rowOff>161925</xdr:rowOff>
        </xdr:to>
        <xdr:sp macro="" textlink="">
          <xdr:nvSpPr>
            <xdr:cNvPr id="2267" name="Check Box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86</xdr:row>
          <xdr:rowOff>0</xdr:rowOff>
        </xdr:from>
        <xdr:to>
          <xdr:col>2</xdr:col>
          <xdr:colOff>704850</xdr:colOff>
          <xdr:row>86</xdr:row>
          <xdr:rowOff>161925</xdr:rowOff>
        </xdr:to>
        <xdr:sp macro="" textlink="">
          <xdr:nvSpPr>
            <xdr:cNvPr id="2268" name="Check Box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87</xdr:row>
          <xdr:rowOff>0</xdr:rowOff>
        </xdr:from>
        <xdr:to>
          <xdr:col>2</xdr:col>
          <xdr:colOff>704850</xdr:colOff>
          <xdr:row>87</xdr:row>
          <xdr:rowOff>161925</xdr:rowOff>
        </xdr:to>
        <xdr:sp macro="" textlink="">
          <xdr:nvSpPr>
            <xdr:cNvPr id="2269" name="Check Box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87</xdr:row>
          <xdr:rowOff>0</xdr:rowOff>
        </xdr:from>
        <xdr:to>
          <xdr:col>2</xdr:col>
          <xdr:colOff>704850</xdr:colOff>
          <xdr:row>87</xdr:row>
          <xdr:rowOff>161925</xdr:rowOff>
        </xdr:to>
        <xdr:sp macro="" textlink="">
          <xdr:nvSpPr>
            <xdr:cNvPr id="2270" name="Check Box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88</xdr:row>
          <xdr:rowOff>0</xdr:rowOff>
        </xdr:from>
        <xdr:to>
          <xdr:col>2</xdr:col>
          <xdr:colOff>704850</xdr:colOff>
          <xdr:row>88</xdr:row>
          <xdr:rowOff>161925</xdr:rowOff>
        </xdr:to>
        <xdr:sp macro="" textlink="">
          <xdr:nvSpPr>
            <xdr:cNvPr id="2271" name="Check Box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88</xdr:row>
          <xdr:rowOff>0</xdr:rowOff>
        </xdr:from>
        <xdr:to>
          <xdr:col>2</xdr:col>
          <xdr:colOff>704850</xdr:colOff>
          <xdr:row>88</xdr:row>
          <xdr:rowOff>161925</xdr:rowOff>
        </xdr:to>
        <xdr:sp macro="" textlink="">
          <xdr:nvSpPr>
            <xdr:cNvPr id="2272" name="Check Box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42</xdr:row>
          <xdr:rowOff>0</xdr:rowOff>
        </xdr:from>
        <xdr:to>
          <xdr:col>2</xdr:col>
          <xdr:colOff>704850</xdr:colOff>
          <xdr:row>42</xdr:row>
          <xdr:rowOff>161925</xdr:rowOff>
        </xdr:to>
        <xdr:sp macro="" textlink="">
          <xdr:nvSpPr>
            <xdr:cNvPr id="2273" name="Check Box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E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42</xdr:row>
          <xdr:rowOff>0</xdr:rowOff>
        </xdr:from>
        <xdr:to>
          <xdr:col>2</xdr:col>
          <xdr:colOff>704850</xdr:colOff>
          <xdr:row>42</xdr:row>
          <xdr:rowOff>161925</xdr:rowOff>
        </xdr:to>
        <xdr:sp macro="" textlink="">
          <xdr:nvSpPr>
            <xdr:cNvPr id="2274" name="Check Box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84</xdr:row>
          <xdr:rowOff>0</xdr:rowOff>
        </xdr:from>
        <xdr:to>
          <xdr:col>2</xdr:col>
          <xdr:colOff>704850</xdr:colOff>
          <xdr:row>84</xdr:row>
          <xdr:rowOff>161925</xdr:rowOff>
        </xdr:to>
        <xdr:sp macro="" textlink="">
          <xdr:nvSpPr>
            <xdr:cNvPr id="2275" name="Check Box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84</xdr:row>
          <xdr:rowOff>0</xdr:rowOff>
        </xdr:from>
        <xdr:to>
          <xdr:col>2</xdr:col>
          <xdr:colOff>704850</xdr:colOff>
          <xdr:row>84</xdr:row>
          <xdr:rowOff>161925</xdr:rowOff>
        </xdr:to>
        <xdr:sp macro="" textlink="">
          <xdr:nvSpPr>
            <xdr:cNvPr id="2276" name="Check Box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84</xdr:row>
          <xdr:rowOff>0</xdr:rowOff>
        </xdr:from>
        <xdr:to>
          <xdr:col>2</xdr:col>
          <xdr:colOff>704850</xdr:colOff>
          <xdr:row>84</xdr:row>
          <xdr:rowOff>161925</xdr:rowOff>
        </xdr:to>
        <xdr:sp macro="" textlink="">
          <xdr:nvSpPr>
            <xdr:cNvPr id="2277" name="Check Box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24</xdr:row>
          <xdr:rowOff>0</xdr:rowOff>
        </xdr:from>
        <xdr:to>
          <xdr:col>2</xdr:col>
          <xdr:colOff>704850</xdr:colOff>
          <xdr:row>24</xdr:row>
          <xdr:rowOff>161925</xdr:rowOff>
        </xdr:to>
        <xdr:sp macro="" textlink="">
          <xdr:nvSpPr>
            <xdr:cNvPr id="2279" name="Check Box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32</xdr:row>
          <xdr:rowOff>0</xdr:rowOff>
        </xdr:from>
        <xdr:to>
          <xdr:col>2</xdr:col>
          <xdr:colOff>704850</xdr:colOff>
          <xdr:row>32</xdr:row>
          <xdr:rowOff>161925</xdr:rowOff>
        </xdr:to>
        <xdr:sp macro="" textlink="">
          <xdr:nvSpPr>
            <xdr:cNvPr id="2280" name="Check Box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32</xdr:row>
          <xdr:rowOff>0</xdr:rowOff>
        </xdr:from>
        <xdr:to>
          <xdr:col>2</xdr:col>
          <xdr:colOff>704850</xdr:colOff>
          <xdr:row>32</xdr:row>
          <xdr:rowOff>161925</xdr:rowOff>
        </xdr:to>
        <xdr:sp macro="" textlink="">
          <xdr:nvSpPr>
            <xdr:cNvPr id="2281" name="Check Box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33</xdr:row>
          <xdr:rowOff>0</xdr:rowOff>
        </xdr:from>
        <xdr:to>
          <xdr:col>2</xdr:col>
          <xdr:colOff>704850</xdr:colOff>
          <xdr:row>33</xdr:row>
          <xdr:rowOff>161925</xdr:rowOff>
        </xdr:to>
        <xdr:sp macro="" textlink="">
          <xdr:nvSpPr>
            <xdr:cNvPr id="2282" name="Check Box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33</xdr:row>
          <xdr:rowOff>0</xdr:rowOff>
        </xdr:from>
        <xdr:to>
          <xdr:col>2</xdr:col>
          <xdr:colOff>704850</xdr:colOff>
          <xdr:row>33</xdr:row>
          <xdr:rowOff>161925</xdr:rowOff>
        </xdr:to>
        <xdr:sp macro="" textlink="">
          <xdr:nvSpPr>
            <xdr:cNvPr id="2283" name="Check Box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43</xdr:row>
          <xdr:rowOff>0</xdr:rowOff>
        </xdr:from>
        <xdr:to>
          <xdr:col>2</xdr:col>
          <xdr:colOff>704850</xdr:colOff>
          <xdr:row>43</xdr:row>
          <xdr:rowOff>161925</xdr:rowOff>
        </xdr:to>
        <xdr:sp macro="" textlink="">
          <xdr:nvSpPr>
            <xdr:cNvPr id="2284" name="Check Box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40</xdr:row>
          <xdr:rowOff>0</xdr:rowOff>
        </xdr:from>
        <xdr:to>
          <xdr:col>2</xdr:col>
          <xdr:colOff>704850</xdr:colOff>
          <xdr:row>40</xdr:row>
          <xdr:rowOff>161925</xdr:rowOff>
        </xdr:to>
        <xdr:sp macro="" textlink="">
          <xdr:nvSpPr>
            <xdr:cNvPr id="2286" name="Check Box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41</xdr:row>
          <xdr:rowOff>0</xdr:rowOff>
        </xdr:from>
        <xdr:to>
          <xdr:col>2</xdr:col>
          <xdr:colOff>704850</xdr:colOff>
          <xdr:row>41</xdr:row>
          <xdr:rowOff>161925</xdr:rowOff>
        </xdr:to>
        <xdr:sp macro="" textlink="">
          <xdr:nvSpPr>
            <xdr:cNvPr id="2288" name="Check Box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42</xdr:row>
          <xdr:rowOff>0</xdr:rowOff>
        </xdr:from>
        <xdr:to>
          <xdr:col>2</xdr:col>
          <xdr:colOff>704850</xdr:colOff>
          <xdr:row>42</xdr:row>
          <xdr:rowOff>161925</xdr:rowOff>
        </xdr:to>
        <xdr:sp macro="" textlink="">
          <xdr:nvSpPr>
            <xdr:cNvPr id="2290" name="Check Box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53</xdr:row>
          <xdr:rowOff>0</xdr:rowOff>
        </xdr:from>
        <xdr:to>
          <xdr:col>2</xdr:col>
          <xdr:colOff>704850</xdr:colOff>
          <xdr:row>53</xdr:row>
          <xdr:rowOff>161925</xdr:rowOff>
        </xdr:to>
        <xdr:sp macro="" textlink="">
          <xdr:nvSpPr>
            <xdr:cNvPr id="2292" name="Check Box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53</xdr:row>
          <xdr:rowOff>0</xdr:rowOff>
        </xdr:from>
        <xdr:to>
          <xdr:col>2</xdr:col>
          <xdr:colOff>704850</xdr:colOff>
          <xdr:row>53</xdr:row>
          <xdr:rowOff>161925</xdr:rowOff>
        </xdr:to>
        <xdr:sp macro="" textlink="">
          <xdr:nvSpPr>
            <xdr:cNvPr id="2293" name="Check Box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63</xdr:row>
          <xdr:rowOff>0</xdr:rowOff>
        </xdr:from>
        <xdr:to>
          <xdr:col>2</xdr:col>
          <xdr:colOff>704850</xdr:colOff>
          <xdr:row>63</xdr:row>
          <xdr:rowOff>161925</xdr:rowOff>
        </xdr:to>
        <xdr:sp macro="" textlink="">
          <xdr:nvSpPr>
            <xdr:cNvPr id="2298" name="Check Box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63</xdr:row>
          <xdr:rowOff>0</xdr:rowOff>
        </xdr:from>
        <xdr:to>
          <xdr:col>2</xdr:col>
          <xdr:colOff>704850</xdr:colOff>
          <xdr:row>63</xdr:row>
          <xdr:rowOff>161925</xdr:rowOff>
        </xdr:to>
        <xdr:sp macro="" textlink="">
          <xdr:nvSpPr>
            <xdr:cNvPr id="2299" name="Check Box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64</xdr:row>
          <xdr:rowOff>0</xdr:rowOff>
        </xdr:from>
        <xdr:to>
          <xdr:col>2</xdr:col>
          <xdr:colOff>704850</xdr:colOff>
          <xdr:row>64</xdr:row>
          <xdr:rowOff>161925</xdr:rowOff>
        </xdr:to>
        <xdr:sp macro="" textlink="">
          <xdr:nvSpPr>
            <xdr:cNvPr id="2300" name="Check Box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64</xdr:row>
          <xdr:rowOff>0</xdr:rowOff>
        </xdr:from>
        <xdr:to>
          <xdr:col>2</xdr:col>
          <xdr:colOff>704850</xdr:colOff>
          <xdr:row>64</xdr:row>
          <xdr:rowOff>161925</xdr:rowOff>
        </xdr:to>
        <xdr:sp macro="" textlink="">
          <xdr:nvSpPr>
            <xdr:cNvPr id="2301" name="Check Box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65</xdr:row>
          <xdr:rowOff>0</xdr:rowOff>
        </xdr:from>
        <xdr:to>
          <xdr:col>2</xdr:col>
          <xdr:colOff>704850</xdr:colOff>
          <xdr:row>65</xdr:row>
          <xdr:rowOff>161925</xdr:rowOff>
        </xdr:to>
        <xdr:sp macro="" textlink="">
          <xdr:nvSpPr>
            <xdr:cNvPr id="2302" name="Check Box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65</xdr:row>
          <xdr:rowOff>0</xdr:rowOff>
        </xdr:from>
        <xdr:to>
          <xdr:col>2</xdr:col>
          <xdr:colOff>704850</xdr:colOff>
          <xdr:row>65</xdr:row>
          <xdr:rowOff>161925</xdr:rowOff>
        </xdr:to>
        <xdr:sp macro="" textlink="">
          <xdr:nvSpPr>
            <xdr:cNvPr id="2303" name="Check Box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73</xdr:row>
          <xdr:rowOff>0</xdr:rowOff>
        </xdr:from>
        <xdr:to>
          <xdr:col>2</xdr:col>
          <xdr:colOff>704850</xdr:colOff>
          <xdr:row>73</xdr:row>
          <xdr:rowOff>161925</xdr:rowOff>
        </xdr:to>
        <xdr:sp macro="" textlink="">
          <xdr:nvSpPr>
            <xdr:cNvPr id="2306" name="Check Box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74</xdr:row>
          <xdr:rowOff>0</xdr:rowOff>
        </xdr:from>
        <xdr:to>
          <xdr:col>2</xdr:col>
          <xdr:colOff>704850</xdr:colOff>
          <xdr:row>74</xdr:row>
          <xdr:rowOff>161925</xdr:rowOff>
        </xdr:to>
        <xdr:sp macro="" textlink="">
          <xdr:nvSpPr>
            <xdr:cNvPr id="2308" name="Check Box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75</xdr:row>
          <xdr:rowOff>0</xdr:rowOff>
        </xdr:from>
        <xdr:to>
          <xdr:col>2</xdr:col>
          <xdr:colOff>704850</xdr:colOff>
          <xdr:row>75</xdr:row>
          <xdr:rowOff>161925</xdr:rowOff>
        </xdr:to>
        <xdr:sp macro="" textlink="">
          <xdr:nvSpPr>
            <xdr:cNvPr id="2310" name="Check Box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76</xdr:row>
          <xdr:rowOff>0</xdr:rowOff>
        </xdr:from>
        <xdr:to>
          <xdr:col>2</xdr:col>
          <xdr:colOff>704850</xdr:colOff>
          <xdr:row>76</xdr:row>
          <xdr:rowOff>161925</xdr:rowOff>
        </xdr:to>
        <xdr:sp macro="" textlink="">
          <xdr:nvSpPr>
            <xdr:cNvPr id="2312" name="Check Box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77</xdr:row>
          <xdr:rowOff>0</xdr:rowOff>
        </xdr:from>
        <xdr:to>
          <xdr:col>2</xdr:col>
          <xdr:colOff>704850</xdr:colOff>
          <xdr:row>77</xdr:row>
          <xdr:rowOff>161925</xdr:rowOff>
        </xdr:to>
        <xdr:sp macro="" textlink="">
          <xdr:nvSpPr>
            <xdr:cNvPr id="2314" name="Check Box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11</xdr:row>
          <xdr:rowOff>0</xdr:rowOff>
        </xdr:from>
        <xdr:to>
          <xdr:col>2</xdr:col>
          <xdr:colOff>704850</xdr:colOff>
          <xdr:row>11</xdr:row>
          <xdr:rowOff>161925</xdr:rowOff>
        </xdr:to>
        <xdr:sp macro="" textlink="">
          <xdr:nvSpPr>
            <xdr:cNvPr id="2326" name="Check Box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12</xdr:row>
          <xdr:rowOff>0</xdr:rowOff>
        </xdr:from>
        <xdr:to>
          <xdr:col>2</xdr:col>
          <xdr:colOff>704850</xdr:colOff>
          <xdr:row>12</xdr:row>
          <xdr:rowOff>161925</xdr:rowOff>
        </xdr:to>
        <xdr:sp macro="" textlink="">
          <xdr:nvSpPr>
            <xdr:cNvPr id="2327" name="Check Box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38100</xdr:rowOff>
        </xdr:from>
        <xdr:to>
          <xdr:col>1</xdr:col>
          <xdr:colOff>390525</xdr:colOff>
          <xdr:row>1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解約完了メール作成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104775</xdr:rowOff>
    </xdr:to>
    <xdr:sp macro="" textlink="">
      <xdr:nvSpPr>
        <xdr:cNvPr id="3074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0" y="57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6</xdr:row>
      <xdr:rowOff>0</xdr:rowOff>
    </xdr:from>
    <xdr:to>
      <xdr:col>0</xdr:col>
      <xdr:colOff>304800</xdr:colOff>
      <xdr:row>7</xdr:row>
      <xdr:rowOff>104775</xdr:rowOff>
    </xdr:to>
    <xdr:sp macro="" textlink="">
      <xdr:nvSpPr>
        <xdr:cNvPr id="2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11430A-EED4-4A52-9ED8-1DED0F001F58}"/>
            </a:ext>
          </a:extLst>
        </xdr:cNvPr>
        <xdr:cNvSpPr>
          <a:spLocks noChangeAspect="1" noChangeArrowheads="1"/>
        </xdr:cNvSpPr>
      </xdr:nvSpPr>
      <xdr:spPr bwMode="auto">
        <a:xfrm>
          <a:off x="0" y="180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6</xdr:row>
      <xdr:rowOff>0</xdr:rowOff>
    </xdr:from>
    <xdr:ext cx="304800" cy="304800"/>
    <xdr:sp macro="" textlink="">
      <xdr:nvSpPr>
        <xdr:cNvPr id="3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AEDAAF-354D-417E-B5C0-184538A60A19}"/>
            </a:ext>
          </a:extLst>
        </xdr:cNvPr>
        <xdr:cNvSpPr>
          <a:spLocks noChangeAspect="1" noChangeArrowheads="1"/>
        </xdr:cNvSpPr>
      </xdr:nvSpPr>
      <xdr:spPr bwMode="auto">
        <a:xfrm>
          <a:off x="0" y="180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6</xdr:row>
      <xdr:rowOff>0</xdr:rowOff>
    </xdr:from>
    <xdr:ext cx="304800" cy="304800"/>
    <xdr:sp macro="" textlink="">
      <xdr:nvSpPr>
        <xdr:cNvPr id="9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C156E1-69C1-4170-B250-A18013151378}"/>
            </a:ext>
          </a:extLst>
        </xdr:cNvPr>
        <xdr:cNvSpPr>
          <a:spLocks noChangeAspect="1" noChangeArrowheads="1"/>
        </xdr:cNvSpPr>
      </xdr:nvSpPr>
      <xdr:spPr bwMode="auto">
        <a:xfrm>
          <a:off x="0" y="180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6</xdr:row>
      <xdr:rowOff>0</xdr:rowOff>
    </xdr:from>
    <xdr:ext cx="304800" cy="304800"/>
    <xdr:sp macro="" textlink="">
      <xdr:nvSpPr>
        <xdr:cNvPr id="10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F86AE9-0619-416C-AD9B-FEB5F0E82525}"/>
            </a:ext>
          </a:extLst>
        </xdr:cNvPr>
        <xdr:cNvSpPr>
          <a:spLocks noChangeAspect="1" noChangeArrowheads="1"/>
        </xdr:cNvSpPr>
      </xdr:nvSpPr>
      <xdr:spPr bwMode="auto">
        <a:xfrm>
          <a:off x="0" y="180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6</xdr:row>
      <xdr:rowOff>0</xdr:rowOff>
    </xdr:from>
    <xdr:ext cx="304800" cy="304800"/>
    <xdr:sp macro="" textlink="">
      <xdr:nvSpPr>
        <xdr:cNvPr id="11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D10FF7-43F3-425A-8593-2C60842388DA}"/>
            </a:ext>
          </a:extLst>
        </xdr:cNvPr>
        <xdr:cNvSpPr>
          <a:spLocks noChangeAspect="1" noChangeArrowheads="1"/>
        </xdr:cNvSpPr>
      </xdr:nvSpPr>
      <xdr:spPr bwMode="auto">
        <a:xfrm>
          <a:off x="0" y="180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6</xdr:row>
      <xdr:rowOff>0</xdr:rowOff>
    </xdr:from>
    <xdr:ext cx="304800" cy="304800"/>
    <xdr:sp macro="" textlink="">
      <xdr:nvSpPr>
        <xdr:cNvPr id="12" name="AutoShape 2" descr="doclink.bm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9EDECD-F15F-4774-A6E9-36BE1B83C013}"/>
            </a:ext>
          </a:extLst>
        </xdr:cNvPr>
        <xdr:cNvSpPr>
          <a:spLocks noChangeAspect="1" noChangeArrowheads="1"/>
        </xdr:cNvSpPr>
      </xdr:nvSpPr>
      <xdr:spPr bwMode="auto">
        <a:xfrm>
          <a:off x="0" y="180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542925</xdr:colOff>
      <xdr:row>92</xdr:row>
      <xdr:rowOff>28575</xdr:rowOff>
    </xdr:from>
    <xdr:to>
      <xdr:col>2</xdr:col>
      <xdr:colOff>187692</xdr:colOff>
      <xdr:row>98</xdr:row>
      <xdr:rowOff>143065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DA3780F0-59FD-D3B7-6EAB-1BC77BA22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2925" y="14878050"/>
          <a:ext cx="3962953" cy="13622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29</xdr:row>
      <xdr:rowOff>53957</xdr:rowOff>
    </xdr:from>
    <xdr:to>
      <xdr:col>7</xdr:col>
      <xdr:colOff>371475</xdr:colOff>
      <xdr:row>39</xdr:row>
      <xdr:rowOff>104775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219325" y="5026007"/>
          <a:ext cx="2085975" cy="1765318"/>
          <a:chOff x="1847850" y="4702157"/>
          <a:chExt cx="2085975" cy="1765318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847850" y="4702157"/>
            <a:ext cx="2085975" cy="1765056"/>
          </a:xfrm>
          <a:prstGeom prst="rect">
            <a:avLst/>
          </a:prstGeom>
          <a:ln>
            <a:solidFill>
              <a:schemeClr val="accent1"/>
            </a:solidFill>
          </a:ln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2257425" y="6153150"/>
            <a:ext cx="1562100" cy="3143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</xdr:col>
      <xdr:colOff>19050</xdr:colOff>
      <xdr:row>42</xdr:row>
      <xdr:rowOff>41394</xdr:rowOff>
    </xdr:from>
    <xdr:to>
      <xdr:col>13</xdr:col>
      <xdr:colOff>142875</xdr:colOff>
      <xdr:row>56</xdr:row>
      <xdr:rowOff>9175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1895475" y="7242294"/>
          <a:ext cx="5991225" cy="2368081"/>
          <a:chOff x="4333875" y="5289669"/>
          <a:chExt cx="6296025" cy="2368081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333875" y="5289669"/>
            <a:ext cx="6296025" cy="2368081"/>
          </a:xfrm>
          <a:prstGeom prst="rect">
            <a:avLst/>
          </a:prstGeom>
          <a:ln>
            <a:solidFill>
              <a:schemeClr val="accent1"/>
            </a:solidFill>
          </a:ln>
        </xdr:spPr>
      </xdr:pic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7934325" y="6934200"/>
            <a:ext cx="1438275" cy="2667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972175" y="5934076"/>
            <a:ext cx="962025" cy="266700"/>
          </a:xfrm>
          <a:prstGeom prst="rect">
            <a:avLst/>
          </a:prstGeom>
          <a:noFill/>
          <a:ln w="28575">
            <a:solidFill>
              <a:srgbClr val="0000FF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209550</xdr:colOff>
          <xdr:row>11</xdr:row>
          <xdr:rowOff>161925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209550</xdr:colOff>
          <xdr:row>12</xdr:row>
          <xdr:rowOff>161925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209550</xdr:colOff>
          <xdr:row>13</xdr:row>
          <xdr:rowOff>161925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209550</xdr:colOff>
          <xdr:row>14</xdr:row>
          <xdr:rowOff>161925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209550</xdr:colOff>
          <xdr:row>15</xdr:row>
          <xdr:rowOff>161925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209550</xdr:colOff>
          <xdr:row>21</xdr:row>
          <xdr:rowOff>161925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209550</xdr:colOff>
          <xdr:row>22</xdr:row>
          <xdr:rowOff>161925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209550</xdr:colOff>
          <xdr:row>17</xdr:row>
          <xdr:rowOff>161925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209550</xdr:colOff>
          <xdr:row>18</xdr:row>
          <xdr:rowOff>161925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209550</xdr:colOff>
          <xdr:row>24</xdr:row>
          <xdr:rowOff>161925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209550</xdr:colOff>
          <xdr:row>24</xdr:row>
          <xdr:rowOff>161925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209550</xdr:colOff>
          <xdr:row>25</xdr:row>
          <xdr:rowOff>161925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209550</xdr:colOff>
          <xdr:row>26</xdr:row>
          <xdr:rowOff>161925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209550</xdr:colOff>
          <xdr:row>29</xdr:row>
          <xdr:rowOff>161925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209550</xdr:colOff>
          <xdr:row>30</xdr:row>
          <xdr:rowOff>161925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209550</xdr:colOff>
          <xdr:row>31</xdr:row>
          <xdr:rowOff>161925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209550</xdr:colOff>
          <xdr:row>32</xdr:row>
          <xdr:rowOff>161925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209550</xdr:colOff>
          <xdr:row>34</xdr:row>
          <xdr:rowOff>161925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209550</xdr:colOff>
          <xdr:row>36</xdr:row>
          <xdr:rowOff>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209550</xdr:colOff>
          <xdr:row>36</xdr:row>
          <xdr:rowOff>161925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209550</xdr:colOff>
          <xdr:row>37</xdr:row>
          <xdr:rowOff>161925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209550</xdr:colOff>
          <xdr:row>39</xdr:row>
          <xdr:rowOff>161925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209550</xdr:colOff>
          <xdr:row>41</xdr:row>
          <xdr:rowOff>161925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209550</xdr:colOff>
          <xdr:row>42</xdr:row>
          <xdr:rowOff>161925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209550</xdr:colOff>
          <xdr:row>43</xdr:row>
          <xdr:rowOff>161925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209550</xdr:colOff>
          <xdr:row>44</xdr:row>
          <xdr:rowOff>161925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209550</xdr:colOff>
          <xdr:row>45</xdr:row>
          <xdr:rowOff>161925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209550</xdr:colOff>
          <xdr:row>50</xdr:row>
          <xdr:rowOff>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209550</xdr:colOff>
          <xdr:row>49</xdr:row>
          <xdr:rowOff>161925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209550</xdr:colOff>
          <xdr:row>50</xdr:row>
          <xdr:rowOff>161925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209550</xdr:colOff>
          <xdr:row>52</xdr:row>
          <xdr:rowOff>161925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209550</xdr:colOff>
          <xdr:row>53</xdr:row>
          <xdr:rowOff>161925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209550</xdr:colOff>
          <xdr:row>55</xdr:row>
          <xdr:rowOff>161925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209550</xdr:colOff>
          <xdr:row>56</xdr:row>
          <xdr:rowOff>161925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209550</xdr:colOff>
          <xdr:row>57</xdr:row>
          <xdr:rowOff>161925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209550</xdr:colOff>
          <xdr:row>59</xdr:row>
          <xdr:rowOff>161925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209550</xdr:colOff>
          <xdr:row>60</xdr:row>
          <xdr:rowOff>161925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209550</xdr:colOff>
          <xdr:row>61</xdr:row>
          <xdr:rowOff>161925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209550</xdr:colOff>
          <xdr:row>63</xdr:row>
          <xdr:rowOff>161925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209550</xdr:colOff>
          <xdr:row>64</xdr:row>
          <xdr:rowOff>161925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209550</xdr:colOff>
          <xdr:row>66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209550</xdr:colOff>
          <xdr:row>63</xdr:row>
          <xdr:rowOff>161925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209550</xdr:colOff>
          <xdr:row>67</xdr:row>
          <xdr:rowOff>161925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209550</xdr:colOff>
          <xdr:row>68</xdr:row>
          <xdr:rowOff>161925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209550</xdr:colOff>
          <xdr:row>69</xdr:row>
          <xdr:rowOff>161925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5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209550</xdr:colOff>
          <xdr:row>70</xdr:row>
          <xdr:rowOff>161925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5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209550</xdr:colOff>
          <xdr:row>71</xdr:row>
          <xdr:rowOff>161925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209550</xdr:colOff>
          <xdr:row>72</xdr:row>
          <xdr:rowOff>161925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209550</xdr:colOff>
          <xdr:row>73</xdr:row>
          <xdr:rowOff>161925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209550</xdr:colOff>
          <xdr:row>74</xdr:row>
          <xdr:rowOff>161925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0</xdr:col>
          <xdr:colOff>209550</xdr:colOff>
          <xdr:row>76</xdr:row>
          <xdr:rowOff>0</xdr:rowOff>
        </xdr:to>
        <xdr:sp macro="" textlink="">
          <xdr:nvSpPr>
            <xdr:cNvPr id="5171" name="Check Box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5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19050</xdr:rowOff>
        </xdr:from>
        <xdr:to>
          <xdr:col>1</xdr:col>
          <xdr:colOff>209550</xdr:colOff>
          <xdr:row>55</xdr:row>
          <xdr:rowOff>9525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209550</xdr:colOff>
          <xdr:row>26</xdr:row>
          <xdr:rowOff>161925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209550</xdr:colOff>
          <xdr:row>33</xdr:row>
          <xdr:rowOff>161925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209550</xdr:colOff>
          <xdr:row>40</xdr:row>
          <xdr:rowOff>161925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209550</xdr:colOff>
          <xdr:row>20</xdr:row>
          <xdr:rowOff>161925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209550</xdr:colOff>
          <xdr:row>38</xdr:row>
          <xdr:rowOff>161925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0</xdr:col>
          <xdr:colOff>209550</xdr:colOff>
          <xdr:row>77</xdr:row>
          <xdr:rowOff>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180975</xdr:rowOff>
        </xdr:from>
        <xdr:to>
          <xdr:col>0</xdr:col>
          <xdr:colOff>209550</xdr:colOff>
          <xdr:row>67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209550</xdr:colOff>
          <xdr:row>52</xdr:row>
          <xdr:rowOff>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209550</xdr:colOff>
          <xdr:row>48</xdr:row>
          <xdr:rowOff>161925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0</xdr:col>
          <xdr:colOff>209550</xdr:colOff>
          <xdr:row>77</xdr:row>
          <xdr:rowOff>161925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0</xdr:col>
          <xdr:colOff>209550</xdr:colOff>
          <xdr:row>79</xdr:row>
          <xdr:rowOff>161925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0</xdr:col>
          <xdr:colOff>209550</xdr:colOff>
          <xdr:row>78</xdr:row>
          <xdr:rowOff>161925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0</xdr:col>
          <xdr:colOff>209550</xdr:colOff>
          <xdr:row>80</xdr:row>
          <xdr:rowOff>161925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209550</xdr:colOff>
          <xdr:row>46</xdr:row>
          <xdr:rowOff>161925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209550</xdr:colOff>
          <xdr:row>26</xdr:row>
          <xdr:rowOff>161925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209550</xdr:colOff>
          <xdr:row>26</xdr:row>
          <xdr:rowOff>161925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209550</xdr:colOff>
          <xdr:row>29</xdr:row>
          <xdr:rowOff>161925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209550</xdr:colOff>
          <xdr:row>30</xdr:row>
          <xdr:rowOff>161925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209550</xdr:colOff>
          <xdr:row>31</xdr:row>
          <xdr:rowOff>161925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209550</xdr:colOff>
          <xdr:row>32</xdr:row>
          <xdr:rowOff>161925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209550</xdr:colOff>
          <xdr:row>33</xdr:row>
          <xdr:rowOff>161925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209550</xdr:colOff>
          <xdr:row>34</xdr:row>
          <xdr:rowOff>161925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209550</xdr:colOff>
          <xdr:row>35</xdr:row>
          <xdr:rowOff>161925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209550</xdr:colOff>
          <xdr:row>36</xdr:row>
          <xdr:rowOff>161925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209550</xdr:colOff>
          <xdr:row>37</xdr:row>
          <xdr:rowOff>161925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209550</xdr:colOff>
          <xdr:row>38</xdr:row>
          <xdr:rowOff>161925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209550</xdr:colOff>
          <xdr:row>39</xdr:row>
          <xdr:rowOff>161925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5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209550</xdr:colOff>
          <xdr:row>40</xdr:row>
          <xdr:rowOff>161925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209550</xdr:colOff>
          <xdr:row>41</xdr:row>
          <xdr:rowOff>161925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209550</xdr:colOff>
          <xdr:row>42</xdr:row>
          <xdr:rowOff>161925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209550</xdr:colOff>
          <xdr:row>43</xdr:row>
          <xdr:rowOff>161925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209550</xdr:colOff>
          <xdr:row>44</xdr:row>
          <xdr:rowOff>161925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209550</xdr:colOff>
          <xdr:row>45</xdr:row>
          <xdr:rowOff>161925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209550</xdr:colOff>
          <xdr:row>46</xdr:row>
          <xdr:rowOff>161925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5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209550</xdr:colOff>
          <xdr:row>48</xdr:row>
          <xdr:rowOff>161925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5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209550</xdr:colOff>
          <xdr:row>49</xdr:row>
          <xdr:rowOff>161925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28575</xdr:rowOff>
        </xdr:from>
        <xdr:to>
          <xdr:col>0</xdr:col>
          <xdr:colOff>209550</xdr:colOff>
          <xdr:row>51</xdr:row>
          <xdr:rowOff>19050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209550</xdr:colOff>
          <xdr:row>52</xdr:row>
          <xdr:rowOff>161925</xdr:rowOff>
        </xdr:to>
        <xdr:sp macro="" textlink="">
          <xdr:nvSpPr>
            <xdr:cNvPr id="5210" name="Check Box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5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209550</xdr:colOff>
          <xdr:row>53</xdr:row>
          <xdr:rowOff>161925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5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209550</xdr:colOff>
          <xdr:row>55</xdr:row>
          <xdr:rowOff>161925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209550</xdr:colOff>
          <xdr:row>56</xdr:row>
          <xdr:rowOff>161925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5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209550</xdr:colOff>
          <xdr:row>57</xdr:row>
          <xdr:rowOff>161925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209550</xdr:colOff>
          <xdr:row>59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5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209550</xdr:colOff>
          <xdr:row>60</xdr:row>
          <xdr:rowOff>161925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5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209550</xdr:colOff>
          <xdr:row>61</xdr:row>
          <xdr:rowOff>161925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5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209550</xdr:colOff>
          <xdr:row>63</xdr:row>
          <xdr:rowOff>161925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5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209550</xdr:colOff>
          <xdr:row>64</xdr:row>
          <xdr:rowOff>161925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5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209550</xdr:colOff>
          <xdr:row>65</xdr:row>
          <xdr:rowOff>161925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5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209550</xdr:colOff>
          <xdr:row>67</xdr:row>
          <xdr:rowOff>161925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5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209550</xdr:colOff>
          <xdr:row>68</xdr:row>
          <xdr:rowOff>161925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5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209550</xdr:colOff>
          <xdr:row>69</xdr:row>
          <xdr:rowOff>161925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5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209550</xdr:colOff>
          <xdr:row>70</xdr:row>
          <xdr:rowOff>161925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5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209550</xdr:colOff>
          <xdr:row>71</xdr:row>
          <xdr:rowOff>161925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5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209550</xdr:colOff>
          <xdr:row>72</xdr:row>
          <xdr:rowOff>161925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209550</xdr:colOff>
          <xdr:row>73</xdr:row>
          <xdr:rowOff>161925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5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209550</xdr:colOff>
          <xdr:row>74</xdr:row>
          <xdr:rowOff>161925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5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0</xdr:col>
          <xdr:colOff>209550</xdr:colOff>
          <xdr:row>75</xdr:row>
          <xdr:rowOff>161925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5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0</xdr:col>
          <xdr:colOff>209550</xdr:colOff>
          <xdr:row>76</xdr:row>
          <xdr:rowOff>161925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5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0</xdr:col>
          <xdr:colOff>209550</xdr:colOff>
          <xdr:row>77</xdr:row>
          <xdr:rowOff>161925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5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0</xdr:col>
          <xdr:colOff>209550</xdr:colOff>
          <xdr:row>79</xdr:row>
          <xdr:rowOff>161925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5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0</xdr:col>
          <xdr:colOff>209550</xdr:colOff>
          <xdr:row>78</xdr:row>
          <xdr:rowOff>161925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5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0</xdr:col>
          <xdr:colOff>209550</xdr:colOff>
          <xdr:row>80</xdr:row>
          <xdr:rowOff>161925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5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0</xdr:col>
          <xdr:colOff>209550</xdr:colOff>
          <xdr:row>81</xdr:row>
          <xdr:rowOff>161925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5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0</xdr:col>
          <xdr:colOff>209550</xdr:colOff>
          <xdr:row>81</xdr:row>
          <xdr:rowOff>161925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5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0</xdr:col>
          <xdr:colOff>209550</xdr:colOff>
          <xdr:row>82</xdr:row>
          <xdr:rowOff>161925</xdr:rowOff>
        </xdr:to>
        <xdr:sp macro="" textlink="">
          <xdr:nvSpPr>
            <xdr:cNvPr id="5237" name="Check Box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5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209550</xdr:colOff>
          <xdr:row>16</xdr:row>
          <xdr:rowOff>161925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5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209550</xdr:colOff>
          <xdr:row>16</xdr:row>
          <xdr:rowOff>161925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5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209550</xdr:colOff>
          <xdr:row>19</xdr:row>
          <xdr:rowOff>161925</xdr:rowOff>
        </xdr:to>
        <xdr:sp macro="" textlink="">
          <xdr:nvSpPr>
            <xdr:cNvPr id="5240" name="Check Box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5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209550</xdr:colOff>
          <xdr:row>23</xdr:row>
          <xdr:rowOff>161925</xdr:rowOff>
        </xdr:to>
        <xdr:sp macro="" textlink="">
          <xdr:nvSpPr>
            <xdr:cNvPr id="5241" name="Check Box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5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209550</xdr:colOff>
          <xdr:row>27</xdr:row>
          <xdr:rowOff>161925</xdr:rowOff>
        </xdr:to>
        <xdr:sp macro="" textlink="">
          <xdr:nvSpPr>
            <xdr:cNvPr id="5242" name="Check Box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5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209550</xdr:colOff>
          <xdr:row>27</xdr:row>
          <xdr:rowOff>161925</xdr:rowOff>
        </xdr:to>
        <xdr:sp macro="" textlink="">
          <xdr:nvSpPr>
            <xdr:cNvPr id="5243" name="Check Box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5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209550</xdr:colOff>
          <xdr:row>28</xdr:row>
          <xdr:rowOff>161925</xdr:rowOff>
        </xdr:to>
        <xdr:sp macro="" textlink="">
          <xdr:nvSpPr>
            <xdr:cNvPr id="5244" name="Check Box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5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209550</xdr:colOff>
          <xdr:row>28</xdr:row>
          <xdr:rowOff>161925</xdr:rowOff>
        </xdr:to>
        <xdr:sp macro="" textlink="">
          <xdr:nvSpPr>
            <xdr:cNvPr id="5245" name="Check Box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5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209550</xdr:colOff>
          <xdr:row>47</xdr:row>
          <xdr:rowOff>161925</xdr:rowOff>
        </xdr:to>
        <xdr:sp macro="" textlink="">
          <xdr:nvSpPr>
            <xdr:cNvPr id="5246" name="Check Box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5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209550</xdr:colOff>
          <xdr:row>47</xdr:row>
          <xdr:rowOff>161925</xdr:rowOff>
        </xdr:to>
        <xdr:sp macro="" textlink="">
          <xdr:nvSpPr>
            <xdr:cNvPr id="5247" name="Check Box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5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209550</xdr:colOff>
          <xdr:row>47</xdr:row>
          <xdr:rowOff>161925</xdr:rowOff>
        </xdr:to>
        <xdr:sp macro="" textlink="">
          <xdr:nvSpPr>
            <xdr:cNvPr id="5248" name="Check Box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5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209550</xdr:colOff>
          <xdr:row>47</xdr:row>
          <xdr:rowOff>161925</xdr:rowOff>
        </xdr:to>
        <xdr:sp macro="" textlink="">
          <xdr:nvSpPr>
            <xdr:cNvPr id="5249" name="Check Box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5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209550</xdr:colOff>
          <xdr:row>58</xdr:row>
          <xdr:rowOff>161925</xdr:rowOff>
        </xdr:to>
        <xdr:sp macro="" textlink="">
          <xdr:nvSpPr>
            <xdr:cNvPr id="5250" name="Check Box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5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209550</xdr:colOff>
          <xdr:row>58</xdr:row>
          <xdr:rowOff>161925</xdr:rowOff>
        </xdr:to>
        <xdr:sp macro="" textlink="">
          <xdr:nvSpPr>
            <xdr:cNvPr id="5251" name="Check Box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5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209550</xdr:colOff>
          <xdr:row>62</xdr:row>
          <xdr:rowOff>161925</xdr:rowOff>
        </xdr:to>
        <xdr:sp macro="" textlink="">
          <xdr:nvSpPr>
            <xdr:cNvPr id="5252" name="Check Box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5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209550</xdr:colOff>
          <xdr:row>62</xdr:row>
          <xdr:rowOff>161925</xdr:rowOff>
        </xdr:to>
        <xdr:sp macro="" textlink="">
          <xdr:nvSpPr>
            <xdr:cNvPr id="5253" name="Check Box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5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190" Type="http://schemas.openxmlformats.org/officeDocument/2006/relationships/ctrlProp" Target="../ctrlProps/ctrlProp18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aifuku.sharepoint.com/sites/jp0211047/gyoumu/Lists/List4/DispForm.aspx?ID=1431&amp;e=kjVPYC" TargetMode="External"/><Relationship Id="rId21" Type="http://schemas.openxmlformats.org/officeDocument/2006/relationships/hyperlink" Target="https://daifuku.sharepoint.com/sites/jp0211047/gyoumu/Lists/List4/DispForm.aspx?ID=1428&amp;e=Ycq27v" TargetMode="External"/><Relationship Id="rId42" Type="http://schemas.openxmlformats.org/officeDocument/2006/relationships/hyperlink" Target="https://daifuku.sharepoint.com/sites/jp0211047/gyoumu/Lists/List4/DispForm.aspx?ID=1439&amp;e=focviK" TargetMode="External"/><Relationship Id="rId47" Type="http://schemas.openxmlformats.org/officeDocument/2006/relationships/hyperlink" Target="https://daifuku.sharepoint.com/sites/jp0211047/gyoumu/Lists/List4/DispForm.aspx?ID=1444&amp;e=0lmVKp" TargetMode="External"/><Relationship Id="rId63" Type="http://schemas.openxmlformats.org/officeDocument/2006/relationships/hyperlink" Target="https://daifuku.sharepoint.com/sites/jp0211047/gyoumu/Lists/List4/DispForm.aspx?ID=1463&amp;e=dEICvK" TargetMode="External"/><Relationship Id="rId68" Type="http://schemas.openxmlformats.org/officeDocument/2006/relationships/hyperlink" Target="https://daifuku.sharepoint.com/sites/jp0211047/gyoumu/Lists/List4/DispForm.aspx?ID=1459&amp;e=019DX4" TargetMode="External"/><Relationship Id="rId16" Type="http://schemas.openxmlformats.org/officeDocument/2006/relationships/hyperlink" Target="https://daifuku.sharepoint.com/sites/jp0211047/gyoumu/Lists/List4/DispForm.aspx?ID=1392&amp;e=ShPvcd" TargetMode="External"/><Relationship Id="rId11" Type="http://schemas.openxmlformats.org/officeDocument/2006/relationships/hyperlink" Target="https://daifuku.sharepoint.com/sites/jp0211047/gyoumu/Lists/List4/DispForm.aspx?ID=1391&amp;e=kyyfoi" TargetMode="External"/><Relationship Id="rId32" Type="http://schemas.openxmlformats.org/officeDocument/2006/relationships/hyperlink" Target="https://daifuku.sharepoint.com/sites/jp0211047/gyoumu/Lists/List4/DispForm.aspx?ID=1416&amp;e=q5wsiU" TargetMode="External"/><Relationship Id="rId37" Type="http://schemas.openxmlformats.org/officeDocument/2006/relationships/hyperlink" Target="https://daifuku.sharepoint.com/sites/jp0211047/gyoumu/Lists/List4/DispForm.aspx?ID=1426&amp;e=yghpWz" TargetMode="External"/><Relationship Id="rId53" Type="http://schemas.openxmlformats.org/officeDocument/2006/relationships/hyperlink" Target="https://daifuku.sharepoint.com/sites/jp0211047/gyoumu/Lists/List4/DispForm.aspx?ID=1448&amp;e=k2g7aZ" TargetMode="External"/><Relationship Id="rId58" Type="http://schemas.openxmlformats.org/officeDocument/2006/relationships/hyperlink" Target="https://daifuku.sharepoint.com/sites/jp0211047/gyoumu/Lists/List4/DispForm.aspx?ID=1456&amp;e=wqQzgF" TargetMode="External"/><Relationship Id="rId74" Type="http://schemas.openxmlformats.org/officeDocument/2006/relationships/hyperlink" Target="https://daifuku.sharepoint.com/sites/jp0211047/gyoumu/Lists/List4/DispForm.aspx?ID=1471&amp;e=uoE7sL" TargetMode="External"/><Relationship Id="rId79" Type="http://schemas.openxmlformats.org/officeDocument/2006/relationships/printerSettings" Target="../printerSettings/printerSettings2.bin"/><Relationship Id="rId5" Type="http://schemas.openxmlformats.org/officeDocument/2006/relationships/hyperlink" Target="https://daifuku.sharepoint.com/sites/jp0211047/gyoumu/Lists/List4/DispForm.aspx?ID=1386&amp;e=T1SuBh" TargetMode="External"/><Relationship Id="rId61" Type="http://schemas.openxmlformats.org/officeDocument/2006/relationships/hyperlink" Target="https://daifuku.sharepoint.com/sites/jp0211047/gyoumu/Lists/List4/DispForm.aspx?ID=1458&amp;e=GsszXc" TargetMode="External"/><Relationship Id="rId82" Type="http://schemas.openxmlformats.org/officeDocument/2006/relationships/ctrlProp" Target="../ctrlProps/ctrlProp197.xml"/><Relationship Id="rId19" Type="http://schemas.openxmlformats.org/officeDocument/2006/relationships/hyperlink" Target="https://daifuku.sharepoint.com/sites/jp0211047/gyoumu/Lists/List4/DispForm.aspx?ID=1403&amp;e=3ZndOK" TargetMode="External"/><Relationship Id="rId14" Type="http://schemas.openxmlformats.org/officeDocument/2006/relationships/hyperlink" Target="https://daifuku.sharepoint.com/sites/jp0211047/gyoumu/Lists/List4/DispForm.aspx?ID=1394&amp;e=NdpiKg" TargetMode="External"/><Relationship Id="rId22" Type="http://schemas.openxmlformats.org/officeDocument/2006/relationships/hyperlink" Target="https://daifuku.sharepoint.com/sites/jp0211047/gyoumu/Lists/List4/DispForm.aspx?ID=1411&amp;e=KK8eNc" TargetMode="External"/><Relationship Id="rId27" Type="http://schemas.openxmlformats.org/officeDocument/2006/relationships/hyperlink" Target="https://daifuku.sharepoint.com/sites/jp0211047/gyoumu/Lists/List4/DispForm.aspx?ID=1408&amp;e=8uUM4p" TargetMode="External"/><Relationship Id="rId30" Type="http://schemas.openxmlformats.org/officeDocument/2006/relationships/hyperlink" Target="https://daifuku.sharepoint.com/sites/jp0211047/gyoumu/Lists/List4/DispForm.aspx?ID=1309&amp;e=CEGCzn" TargetMode="External"/><Relationship Id="rId35" Type="http://schemas.openxmlformats.org/officeDocument/2006/relationships/hyperlink" Target="https://daifuku.sharepoint.com/sites/jp0211047/gyoumu/Lists/List4/DispForm.aspx?ID=1436&amp;e=JpB7wf" TargetMode="External"/><Relationship Id="rId43" Type="http://schemas.openxmlformats.org/officeDocument/2006/relationships/hyperlink" Target="https://daifuku.sharepoint.com/sites/jp0211047/gyoumu/Lists/List4/DispForm.aspx?ID=1419&amp;e=Akqlm6" TargetMode="External"/><Relationship Id="rId48" Type="http://schemas.openxmlformats.org/officeDocument/2006/relationships/hyperlink" Target="https://daifuku.sharepoint.com/sites/jp0211047/gyoumu/Lists/List4/DispForm.aspx?ID=1424&amp;e=HvCbE1" TargetMode="External"/><Relationship Id="rId56" Type="http://schemas.openxmlformats.org/officeDocument/2006/relationships/hyperlink" Target="https://daifuku.sharepoint.com/sites/jp0211047/gyoumu/Lists/List4/DispForm.aspx?ID=1338&amp;e=42DYGB" TargetMode="External"/><Relationship Id="rId64" Type="http://schemas.openxmlformats.org/officeDocument/2006/relationships/hyperlink" Target="https://daifuku.sharepoint.com/sites/jp0211047/gyoumu/Lists/List4/DispForm.aspx?ID=1464&amp;e=brfbYN" TargetMode="External"/><Relationship Id="rId69" Type="http://schemas.openxmlformats.org/officeDocument/2006/relationships/hyperlink" Target="https://daifuku.sharepoint.com/sites/jp0211047/gyoumu/Lists/List4/DispForm.aspx?ID=1467&amp;e=m3MUz8" TargetMode="External"/><Relationship Id="rId77" Type="http://schemas.openxmlformats.org/officeDocument/2006/relationships/hyperlink" Target="https://daifuku.sharepoint.com/sites/jp0211047/gyoumu/Lists/List4/DispForm.aspx?ID=1593&amp;e=OPHrnh" TargetMode="External"/><Relationship Id="rId8" Type="http://schemas.openxmlformats.org/officeDocument/2006/relationships/hyperlink" Target="https://daifuku.sharepoint.com/sites/jp0211047/gyoumu/Lists/List4/DispForm.aspx?ID=1387&amp;e=u2PChP" TargetMode="External"/><Relationship Id="rId51" Type="http://schemas.openxmlformats.org/officeDocument/2006/relationships/hyperlink" Target="https://daifuku.sharepoint.com/sites/jp0211047/gyoumu/Lists/List4/DispForm.aspx?ID=1445&amp;e=1FQEW5" TargetMode="External"/><Relationship Id="rId72" Type="http://schemas.openxmlformats.org/officeDocument/2006/relationships/hyperlink" Target="https://daifuku.sharepoint.com/sites/jp0211047/gyoumu/Lists/List4/DispForm.aspx?ID=1474&amp;e=D4s0c8" TargetMode="External"/><Relationship Id="rId80" Type="http://schemas.openxmlformats.org/officeDocument/2006/relationships/drawing" Target="../drawings/drawing2.xml"/><Relationship Id="rId3" Type="http://schemas.openxmlformats.org/officeDocument/2006/relationships/hyperlink" Target="https://daifuku.sharepoint.com/sites/jp0211047/gyoumu/Lists/List4/DispForm.aspx?ID=1427&amp;e=9gUjCb" TargetMode="External"/><Relationship Id="rId12" Type="http://schemas.openxmlformats.org/officeDocument/2006/relationships/hyperlink" Target="https://daifuku.sharepoint.com/sites/jp0211047/gyoumu/Lists/List4/DispForm.aspx?ID=1545&amp;e=19OxsP" TargetMode="External"/><Relationship Id="rId17" Type="http://schemas.openxmlformats.org/officeDocument/2006/relationships/hyperlink" Target="https://daifuku.sharepoint.com/sites/jp0211047/gyoumu/Lists/List4/DispForm.aspx?ID=1393&amp;e=eLhWhN" TargetMode="External"/><Relationship Id="rId25" Type="http://schemas.openxmlformats.org/officeDocument/2006/relationships/hyperlink" Target="https://daifuku.sharepoint.com/sites/jp0211047/gyoumu/Lists/List4/DispForm.aspx?ID=1292&amp;e=dipjJZ" TargetMode="External"/><Relationship Id="rId33" Type="http://schemas.openxmlformats.org/officeDocument/2006/relationships/hyperlink" Target="https://daifuku.sharepoint.com/sites/jp0211047/gyoumu/Lists/List4/DispForm.aspx?ID=1415&amp;e=op4kcz" TargetMode="External"/><Relationship Id="rId38" Type="http://schemas.openxmlformats.org/officeDocument/2006/relationships/hyperlink" Target="https://daifuku.sharepoint.com/sites/jp0211047/gyoumu/Lists/List4/DispForm.aspx?ID=1422&amp;e=oXB2gP" TargetMode="External"/><Relationship Id="rId46" Type="http://schemas.openxmlformats.org/officeDocument/2006/relationships/hyperlink" Target="https://daifuku.sharepoint.com/sites/jp0211047/gyoumu/Lists/List4/DispForm.aspx?ID=1425&amp;e=10U4Jf" TargetMode="External"/><Relationship Id="rId59" Type="http://schemas.openxmlformats.org/officeDocument/2006/relationships/hyperlink" Target="https://daifuku.sharepoint.com/sites/jp0211047/gyoumu/Lists/List4/DispForm.aspx?ID=1352&amp;e=avJES1" TargetMode="External"/><Relationship Id="rId67" Type="http://schemas.openxmlformats.org/officeDocument/2006/relationships/hyperlink" Target="https://daifuku.sharepoint.com/sites/jp0211047/gyoumu/Lists/List4/DispForm.aspx?ID=1358&amp;e=JXUPOQ" TargetMode="External"/><Relationship Id="rId20" Type="http://schemas.openxmlformats.org/officeDocument/2006/relationships/hyperlink" Target="https://daifuku.sharepoint.com/sites/jp0211047/gyoumu/Lists/List4/DispForm.aspx?ID=1404&amp;e=jhFCLj" TargetMode="External"/><Relationship Id="rId41" Type="http://schemas.openxmlformats.org/officeDocument/2006/relationships/hyperlink" Target="https://daifuku.sharepoint.com/sites/jp0211047/gyoumu/Lists/List4/DispForm.aspx?ID=1636&amp;e=LaQhRe" TargetMode="External"/><Relationship Id="rId54" Type="http://schemas.openxmlformats.org/officeDocument/2006/relationships/hyperlink" Target="https://daifuku.sharepoint.com/sites/jp0211047/gyoumu/Lists/List4/DispForm.aspx?ID=1447&amp;e=Z0IVda" TargetMode="External"/><Relationship Id="rId62" Type="http://schemas.openxmlformats.org/officeDocument/2006/relationships/hyperlink" Target="https://daifuku.sharepoint.com/sites/jp0211047/gyoumu/Lists/List4/DispForm.aspx?ID=1462&amp;e=R5h1o4" TargetMode="External"/><Relationship Id="rId70" Type="http://schemas.openxmlformats.org/officeDocument/2006/relationships/hyperlink" Target="https://daifuku.sharepoint.com/sites/jp0211047/gyoumu/Lists/List4/DispForm.aspx?ID=1466&amp;e=mCfHfb" TargetMode="External"/><Relationship Id="rId75" Type="http://schemas.openxmlformats.org/officeDocument/2006/relationships/hyperlink" Target="https://daifuku.sharepoint.com/sites/jp0211047/gyoumu/Lists/List4/DispForm.aspx?ID=1469&amp;e=f0ztTT" TargetMode="External"/><Relationship Id="rId1" Type="http://schemas.openxmlformats.org/officeDocument/2006/relationships/hyperlink" Target="https://daifuku.sharepoint.com/sites/jp0211047/gyoumu/Lists/List4/DispForm.aspx?ID=1413&amp;e=sglrha" TargetMode="External"/><Relationship Id="rId6" Type="http://schemas.openxmlformats.org/officeDocument/2006/relationships/hyperlink" Target="https://daifuku.sharepoint.com/sites/jp0211047/gyoumu/Lists/List4/DispForm.aspx?ID=1572&amp;e=MgpRsi" TargetMode="External"/><Relationship Id="rId15" Type="http://schemas.openxmlformats.org/officeDocument/2006/relationships/hyperlink" Target="https://daifuku.sharepoint.com/sites/jp0211047/gyoumu/Lists/List4/DispForm.aspx?ID=1400&amp;e=2ogupQ" TargetMode="External"/><Relationship Id="rId23" Type="http://schemas.openxmlformats.org/officeDocument/2006/relationships/hyperlink" Target="https://daifuku.sharepoint.com/sites/jp0211047/gyoumu/Lists/List4/DispForm.aspx?ID=1432&amp;e=8OR8bY" TargetMode="External"/><Relationship Id="rId28" Type="http://schemas.openxmlformats.org/officeDocument/2006/relationships/hyperlink" Target="https://daifuku.sharepoint.com/sites/jp0211047/gyoumu/Lists/List4/DispForm.aspx?ID=1409&amp;e=JJbbb2" TargetMode="External"/><Relationship Id="rId36" Type="http://schemas.openxmlformats.org/officeDocument/2006/relationships/hyperlink" Target="https://daifuku.sharepoint.com/sites/jp0211047/gyoumu/Lists/List4/DispForm.aspx?ID=1446&amp;e=2wFdoY" TargetMode="External"/><Relationship Id="rId49" Type="http://schemas.openxmlformats.org/officeDocument/2006/relationships/hyperlink" Target="https://daifuku.sharepoint.com/sites/jp0211047/gyoumu/Lists/List4/DispForm.aspx?ID=1423&amp;e=ITB3rB" TargetMode="External"/><Relationship Id="rId57" Type="http://schemas.openxmlformats.org/officeDocument/2006/relationships/hyperlink" Target="https://daifuku.sharepoint.com/sites/jp0211047/gyoumu/Lists/List4/DispForm.aspx?ID=1455&amp;e=GhuDnx" TargetMode="External"/><Relationship Id="rId10" Type="http://schemas.openxmlformats.org/officeDocument/2006/relationships/hyperlink" Target="https://daifuku.sharepoint.com/sites/jp0211047/gyoumu/Lists/List4/DispForm.aspx?ID=1385&amp;e=N8HJAh" TargetMode="External"/><Relationship Id="rId31" Type="http://schemas.openxmlformats.org/officeDocument/2006/relationships/hyperlink" Target="https://daifuku.sharepoint.com/sites/jp0211047/gyoumu/Lists/List4/DispForm.aspx?ID=1414&amp;e=DPpMmc" TargetMode="External"/><Relationship Id="rId44" Type="http://schemas.openxmlformats.org/officeDocument/2006/relationships/hyperlink" Target="https://daifuku.sharepoint.com/sites/jp0211047/gyoumu/Lists/List4/DispForm.aspx?ID=1421&amp;e=Pl3lhn" TargetMode="External"/><Relationship Id="rId52" Type="http://schemas.openxmlformats.org/officeDocument/2006/relationships/hyperlink" Target="https://daifuku.sharepoint.com/sites/jp0211047/gyoumu/Lists/List4/DispForm.aspx?ID=1449&amp;e=o12b9G" TargetMode="External"/><Relationship Id="rId60" Type="http://schemas.openxmlformats.org/officeDocument/2006/relationships/hyperlink" Target="https://daifuku.sharepoint.com/sites/jp0211047/gyoumu/Lists/List4/DispForm.aspx?ID=1465&amp;e=sUjbRM" TargetMode="External"/><Relationship Id="rId65" Type="http://schemas.openxmlformats.org/officeDocument/2006/relationships/hyperlink" Target="https://daifuku.sharepoint.com/sites/jp0211047/gyoumu/Lists/List4/DispForm.aspx?ID=1547&amp;e=euA13x" TargetMode="External"/><Relationship Id="rId73" Type="http://schemas.openxmlformats.org/officeDocument/2006/relationships/hyperlink" Target="https://daifuku.sharepoint.com/sites/jp0211047/gyoumu/Lists/List4/DispForm.aspx?ID=1476&amp;e=jgSVaC" TargetMode="External"/><Relationship Id="rId78" Type="http://schemas.openxmlformats.org/officeDocument/2006/relationships/hyperlink" Target="https://daifuku.sharepoint.com/sites/jp0211047/gyoumu/Lists/List4/DispForm.aspx?ID=1410&amp;e=oahNuY" TargetMode="External"/><Relationship Id="rId81" Type="http://schemas.openxmlformats.org/officeDocument/2006/relationships/vmlDrawing" Target="../drawings/vmlDrawing2.vml"/><Relationship Id="rId4" Type="http://schemas.openxmlformats.org/officeDocument/2006/relationships/hyperlink" Target="https://daifuku.sharepoint.com/sites/jp0211047/gyoumu/Lists/List4/DispForm.aspx?ID=1389&amp;e=s8nAFQ" TargetMode="External"/><Relationship Id="rId9" Type="http://schemas.openxmlformats.org/officeDocument/2006/relationships/hyperlink" Target="https://daifuku.sharepoint.com/sites/jp0211047/gyoumu/Lists/List4/DispForm.aspx?ID=1384&amp;e=trztW2" TargetMode="External"/><Relationship Id="rId13" Type="http://schemas.openxmlformats.org/officeDocument/2006/relationships/hyperlink" Target="https://daifuku.sharepoint.com/sites/jp0211047/gyoumu/Lists/List4/DispForm.aspx?ID=1397&amp;e=o2uN3w" TargetMode="External"/><Relationship Id="rId18" Type="http://schemas.openxmlformats.org/officeDocument/2006/relationships/hyperlink" Target="https://daifuku.sharepoint.com/sites/jp0211047/gyoumu/Lists/List4/DispForm.aspx?ID=1406&amp;e=efMwHA" TargetMode="External"/><Relationship Id="rId39" Type="http://schemas.openxmlformats.org/officeDocument/2006/relationships/hyperlink" Target="https://daifuku.sharepoint.com/sites/jp0211047/gyoumu/Lists/List4/DispForm.aspx?ID=1417&amp;e=y9OcZh" TargetMode="External"/><Relationship Id="rId34" Type="http://schemas.openxmlformats.org/officeDocument/2006/relationships/hyperlink" Target="https://daifuku.sharepoint.com/sites/jp0211047/gyoumu/Lists/List4/DispForm.aspx?ID=1597&amp;e=hiK3Iv" TargetMode="External"/><Relationship Id="rId50" Type="http://schemas.openxmlformats.org/officeDocument/2006/relationships/hyperlink" Target="https://daifuku.sharepoint.com/sites/jp0211047/gyoumu/Lists/List4/DispForm.aspx?ID=1443&amp;e=FHfYLo" TargetMode="External"/><Relationship Id="rId55" Type="http://schemas.openxmlformats.org/officeDocument/2006/relationships/hyperlink" Target="https://daifuku.sharepoint.com/sites/jp0211047/gyoumu/Lists/List4/DispForm.aspx?ID=1451&amp;e=daIBnc" TargetMode="External"/><Relationship Id="rId76" Type="http://schemas.openxmlformats.org/officeDocument/2006/relationships/hyperlink" Target="https://daifuku.sharepoint.com/sites/jp0211047/gyoumu/Lists/List4/DispForm.aspx?ID=1477&amp;e=nojVzP" TargetMode="External"/><Relationship Id="rId7" Type="http://schemas.openxmlformats.org/officeDocument/2006/relationships/hyperlink" Target="https://daifuku.sharepoint.com/sites/jp0211047/gyoumu/Lists/List4/DispForm.aspx?ID=1388&amp;e=99haEP" TargetMode="External"/><Relationship Id="rId71" Type="http://schemas.openxmlformats.org/officeDocument/2006/relationships/hyperlink" Target="https://daifuku.sharepoint.com/sites/jp0211047/gyoumu/Lists/List4/DispForm.aspx?ID=1472&amp;e=rdmPGu" TargetMode="External"/><Relationship Id="rId2" Type="http://schemas.openxmlformats.org/officeDocument/2006/relationships/hyperlink" Target="https://daifuku.sharepoint.com/sites/jp0211047/gyoumu/Lists/List4/DispForm.aspx?ID=1390&amp;e=vJmoym" TargetMode="External"/><Relationship Id="rId29" Type="http://schemas.openxmlformats.org/officeDocument/2006/relationships/hyperlink" Target="https://daifuku.sharepoint.com/sites/jp0211047/gyoumu/Lists/List4/DispForm.aspx?ID=1407&amp;e=MIcs3A" TargetMode="External"/><Relationship Id="rId24" Type="http://schemas.openxmlformats.org/officeDocument/2006/relationships/hyperlink" Target="https://daifuku.sharepoint.com/sites/jp0211047/gyoumu/Lists/List4/DispForm.aspx?ID=1405&amp;e=OlxdX5" TargetMode="External"/><Relationship Id="rId40" Type="http://schemas.openxmlformats.org/officeDocument/2006/relationships/hyperlink" Target="https://daifuku.sharepoint.com/sites/jp0211047/gyoumu/Lists/List4/DispForm.aspx?ID=1441&amp;e=1VTNBS" TargetMode="External"/><Relationship Id="rId45" Type="http://schemas.openxmlformats.org/officeDocument/2006/relationships/hyperlink" Target="https://daifuku.sharepoint.com/sites/jp0211047/gyoumu/Lists/List4/DispForm.aspx?ID=1300&amp;e=PUmL9W" TargetMode="External"/><Relationship Id="rId66" Type="http://schemas.openxmlformats.org/officeDocument/2006/relationships/hyperlink" Target="https://daifuku.sharepoint.com/sites/jp0211047/gyoumu/Lists/List4/DispForm.aspx?ID=1461&amp;e=6wXV9q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ailto:kazumi_miyagawa.da2@ha.daifuku.co.jp" TargetMode="External"/><Relationship Id="rId1" Type="http://schemas.openxmlformats.org/officeDocument/2006/relationships/hyperlink" Target="mailto:noriko_shigeno-m1@ha.daifuku.co.jp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2.xml"/><Relationship Id="rId21" Type="http://schemas.openxmlformats.org/officeDocument/2006/relationships/ctrlProp" Target="../ctrlProps/ctrlProp216.xml"/><Relationship Id="rId42" Type="http://schemas.openxmlformats.org/officeDocument/2006/relationships/ctrlProp" Target="../ctrlProps/ctrlProp237.xml"/><Relationship Id="rId63" Type="http://schemas.openxmlformats.org/officeDocument/2006/relationships/ctrlProp" Target="../ctrlProps/ctrlProp258.xml"/><Relationship Id="rId84" Type="http://schemas.openxmlformats.org/officeDocument/2006/relationships/ctrlProp" Target="../ctrlProps/ctrlProp279.xml"/><Relationship Id="rId16" Type="http://schemas.openxmlformats.org/officeDocument/2006/relationships/ctrlProp" Target="../ctrlProps/ctrlProp211.xml"/><Relationship Id="rId107" Type="http://schemas.openxmlformats.org/officeDocument/2006/relationships/ctrlProp" Target="../ctrlProps/ctrlProp302.xml"/><Relationship Id="rId11" Type="http://schemas.openxmlformats.org/officeDocument/2006/relationships/ctrlProp" Target="../ctrlProps/ctrlProp206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53" Type="http://schemas.openxmlformats.org/officeDocument/2006/relationships/ctrlProp" Target="../ctrlProps/ctrlProp248.xml"/><Relationship Id="rId58" Type="http://schemas.openxmlformats.org/officeDocument/2006/relationships/ctrlProp" Target="../ctrlProps/ctrlProp253.xml"/><Relationship Id="rId74" Type="http://schemas.openxmlformats.org/officeDocument/2006/relationships/ctrlProp" Target="../ctrlProps/ctrlProp269.xml"/><Relationship Id="rId79" Type="http://schemas.openxmlformats.org/officeDocument/2006/relationships/ctrlProp" Target="../ctrlProps/ctrlProp274.xml"/><Relationship Id="rId102" Type="http://schemas.openxmlformats.org/officeDocument/2006/relationships/ctrlProp" Target="../ctrlProps/ctrlProp297.xml"/><Relationship Id="rId123" Type="http://schemas.openxmlformats.org/officeDocument/2006/relationships/ctrlProp" Target="../ctrlProps/ctrlProp318.xml"/><Relationship Id="rId128" Type="http://schemas.openxmlformats.org/officeDocument/2006/relationships/ctrlProp" Target="../ctrlProps/ctrlProp323.xml"/><Relationship Id="rId5" Type="http://schemas.openxmlformats.org/officeDocument/2006/relationships/ctrlProp" Target="../ctrlProps/ctrlProp200.xml"/><Relationship Id="rId90" Type="http://schemas.openxmlformats.org/officeDocument/2006/relationships/ctrlProp" Target="../ctrlProps/ctrlProp285.xml"/><Relationship Id="rId95" Type="http://schemas.openxmlformats.org/officeDocument/2006/relationships/ctrlProp" Target="../ctrlProps/ctrlProp290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43" Type="http://schemas.openxmlformats.org/officeDocument/2006/relationships/ctrlProp" Target="../ctrlProps/ctrlProp238.xml"/><Relationship Id="rId48" Type="http://schemas.openxmlformats.org/officeDocument/2006/relationships/ctrlProp" Target="../ctrlProps/ctrlProp243.xml"/><Relationship Id="rId64" Type="http://schemas.openxmlformats.org/officeDocument/2006/relationships/ctrlProp" Target="../ctrlProps/ctrlProp259.xml"/><Relationship Id="rId69" Type="http://schemas.openxmlformats.org/officeDocument/2006/relationships/ctrlProp" Target="../ctrlProps/ctrlProp264.xml"/><Relationship Id="rId113" Type="http://schemas.openxmlformats.org/officeDocument/2006/relationships/ctrlProp" Target="../ctrlProps/ctrlProp308.xml"/><Relationship Id="rId118" Type="http://schemas.openxmlformats.org/officeDocument/2006/relationships/ctrlProp" Target="../ctrlProps/ctrlProp313.xml"/><Relationship Id="rId134" Type="http://schemas.openxmlformats.org/officeDocument/2006/relationships/ctrlProp" Target="../ctrlProps/ctrlProp329.xml"/><Relationship Id="rId80" Type="http://schemas.openxmlformats.org/officeDocument/2006/relationships/ctrlProp" Target="../ctrlProps/ctrlProp275.xml"/><Relationship Id="rId85" Type="http://schemas.openxmlformats.org/officeDocument/2006/relationships/ctrlProp" Target="../ctrlProps/ctrlProp280.x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Relationship Id="rId59" Type="http://schemas.openxmlformats.org/officeDocument/2006/relationships/ctrlProp" Target="../ctrlProps/ctrlProp254.xml"/><Relationship Id="rId103" Type="http://schemas.openxmlformats.org/officeDocument/2006/relationships/ctrlProp" Target="../ctrlProps/ctrlProp298.xml"/><Relationship Id="rId108" Type="http://schemas.openxmlformats.org/officeDocument/2006/relationships/ctrlProp" Target="../ctrlProps/ctrlProp303.xml"/><Relationship Id="rId124" Type="http://schemas.openxmlformats.org/officeDocument/2006/relationships/ctrlProp" Target="../ctrlProps/ctrlProp319.xml"/><Relationship Id="rId129" Type="http://schemas.openxmlformats.org/officeDocument/2006/relationships/ctrlProp" Target="../ctrlProps/ctrlProp324.xml"/><Relationship Id="rId54" Type="http://schemas.openxmlformats.org/officeDocument/2006/relationships/ctrlProp" Target="../ctrlProps/ctrlProp249.xml"/><Relationship Id="rId70" Type="http://schemas.openxmlformats.org/officeDocument/2006/relationships/ctrlProp" Target="../ctrlProps/ctrlProp265.xml"/><Relationship Id="rId75" Type="http://schemas.openxmlformats.org/officeDocument/2006/relationships/ctrlProp" Target="../ctrlProps/ctrlProp270.xml"/><Relationship Id="rId91" Type="http://schemas.openxmlformats.org/officeDocument/2006/relationships/ctrlProp" Target="../ctrlProps/ctrlProp286.xml"/><Relationship Id="rId96" Type="http://schemas.openxmlformats.org/officeDocument/2006/relationships/ctrlProp" Target="../ctrlProps/ctrlProp291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01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49" Type="http://schemas.openxmlformats.org/officeDocument/2006/relationships/ctrlProp" Target="../ctrlProps/ctrlProp244.xml"/><Relationship Id="rId114" Type="http://schemas.openxmlformats.org/officeDocument/2006/relationships/ctrlProp" Target="../ctrlProps/ctrlProp309.xml"/><Relationship Id="rId119" Type="http://schemas.openxmlformats.org/officeDocument/2006/relationships/ctrlProp" Target="../ctrlProps/ctrlProp314.xml"/><Relationship Id="rId44" Type="http://schemas.openxmlformats.org/officeDocument/2006/relationships/ctrlProp" Target="../ctrlProps/ctrlProp239.xml"/><Relationship Id="rId60" Type="http://schemas.openxmlformats.org/officeDocument/2006/relationships/ctrlProp" Target="../ctrlProps/ctrlProp255.xml"/><Relationship Id="rId65" Type="http://schemas.openxmlformats.org/officeDocument/2006/relationships/ctrlProp" Target="../ctrlProps/ctrlProp260.xml"/><Relationship Id="rId81" Type="http://schemas.openxmlformats.org/officeDocument/2006/relationships/ctrlProp" Target="../ctrlProps/ctrlProp276.xml"/><Relationship Id="rId86" Type="http://schemas.openxmlformats.org/officeDocument/2006/relationships/ctrlProp" Target="../ctrlProps/ctrlProp281.xml"/><Relationship Id="rId130" Type="http://schemas.openxmlformats.org/officeDocument/2006/relationships/ctrlProp" Target="../ctrlProps/ctrlProp325.xml"/><Relationship Id="rId135" Type="http://schemas.openxmlformats.org/officeDocument/2006/relationships/ctrlProp" Target="../ctrlProps/ctrlProp330.xml"/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39" Type="http://schemas.openxmlformats.org/officeDocument/2006/relationships/ctrlProp" Target="../ctrlProps/ctrlProp234.xml"/><Relationship Id="rId109" Type="http://schemas.openxmlformats.org/officeDocument/2006/relationships/ctrlProp" Target="../ctrlProps/ctrlProp304.xml"/><Relationship Id="rId34" Type="http://schemas.openxmlformats.org/officeDocument/2006/relationships/ctrlProp" Target="../ctrlProps/ctrlProp229.xml"/><Relationship Id="rId50" Type="http://schemas.openxmlformats.org/officeDocument/2006/relationships/ctrlProp" Target="../ctrlProps/ctrlProp245.xml"/><Relationship Id="rId55" Type="http://schemas.openxmlformats.org/officeDocument/2006/relationships/ctrlProp" Target="../ctrlProps/ctrlProp250.xml"/><Relationship Id="rId76" Type="http://schemas.openxmlformats.org/officeDocument/2006/relationships/ctrlProp" Target="../ctrlProps/ctrlProp271.xml"/><Relationship Id="rId97" Type="http://schemas.openxmlformats.org/officeDocument/2006/relationships/ctrlProp" Target="../ctrlProps/ctrlProp292.xml"/><Relationship Id="rId104" Type="http://schemas.openxmlformats.org/officeDocument/2006/relationships/ctrlProp" Target="../ctrlProps/ctrlProp299.xml"/><Relationship Id="rId120" Type="http://schemas.openxmlformats.org/officeDocument/2006/relationships/ctrlProp" Target="../ctrlProps/ctrlProp315.xml"/><Relationship Id="rId125" Type="http://schemas.openxmlformats.org/officeDocument/2006/relationships/ctrlProp" Target="../ctrlProps/ctrlProp320.xml"/><Relationship Id="rId7" Type="http://schemas.openxmlformats.org/officeDocument/2006/relationships/ctrlProp" Target="../ctrlProps/ctrlProp202.xml"/><Relationship Id="rId71" Type="http://schemas.openxmlformats.org/officeDocument/2006/relationships/ctrlProp" Target="../ctrlProps/ctrlProp266.xml"/><Relationship Id="rId92" Type="http://schemas.openxmlformats.org/officeDocument/2006/relationships/ctrlProp" Target="../ctrlProps/ctrlProp287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224.xml"/><Relationship Id="rId24" Type="http://schemas.openxmlformats.org/officeDocument/2006/relationships/ctrlProp" Target="../ctrlProps/ctrlProp219.xml"/><Relationship Id="rId40" Type="http://schemas.openxmlformats.org/officeDocument/2006/relationships/ctrlProp" Target="../ctrlProps/ctrlProp235.xml"/><Relationship Id="rId45" Type="http://schemas.openxmlformats.org/officeDocument/2006/relationships/ctrlProp" Target="../ctrlProps/ctrlProp240.xml"/><Relationship Id="rId66" Type="http://schemas.openxmlformats.org/officeDocument/2006/relationships/ctrlProp" Target="../ctrlProps/ctrlProp261.xml"/><Relationship Id="rId87" Type="http://schemas.openxmlformats.org/officeDocument/2006/relationships/ctrlProp" Target="../ctrlProps/ctrlProp282.xml"/><Relationship Id="rId110" Type="http://schemas.openxmlformats.org/officeDocument/2006/relationships/ctrlProp" Target="../ctrlProps/ctrlProp305.xml"/><Relationship Id="rId115" Type="http://schemas.openxmlformats.org/officeDocument/2006/relationships/ctrlProp" Target="../ctrlProps/ctrlProp310.xml"/><Relationship Id="rId131" Type="http://schemas.openxmlformats.org/officeDocument/2006/relationships/ctrlProp" Target="../ctrlProps/ctrlProp326.xml"/><Relationship Id="rId61" Type="http://schemas.openxmlformats.org/officeDocument/2006/relationships/ctrlProp" Target="../ctrlProps/ctrlProp256.xml"/><Relationship Id="rId82" Type="http://schemas.openxmlformats.org/officeDocument/2006/relationships/ctrlProp" Target="../ctrlProps/ctrlProp277.xml"/><Relationship Id="rId19" Type="http://schemas.openxmlformats.org/officeDocument/2006/relationships/ctrlProp" Target="../ctrlProps/ctrlProp214.xml"/><Relationship Id="rId14" Type="http://schemas.openxmlformats.org/officeDocument/2006/relationships/ctrlProp" Target="../ctrlProps/ctrlProp209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56" Type="http://schemas.openxmlformats.org/officeDocument/2006/relationships/ctrlProp" Target="../ctrlProps/ctrlProp251.xml"/><Relationship Id="rId77" Type="http://schemas.openxmlformats.org/officeDocument/2006/relationships/ctrlProp" Target="../ctrlProps/ctrlProp272.xml"/><Relationship Id="rId100" Type="http://schemas.openxmlformats.org/officeDocument/2006/relationships/ctrlProp" Target="../ctrlProps/ctrlProp295.xml"/><Relationship Id="rId105" Type="http://schemas.openxmlformats.org/officeDocument/2006/relationships/ctrlProp" Target="../ctrlProps/ctrlProp300.xml"/><Relationship Id="rId126" Type="http://schemas.openxmlformats.org/officeDocument/2006/relationships/ctrlProp" Target="../ctrlProps/ctrlProp321.xml"/><Relationship Id="rId8" Type="http://schemas.openxmlformats.org/officeDocument/2006/relationships/ctrlProp" Target="../ctrlProps/ctrlProp203.xml"/><Relationship Id="rId51" Type="http://schemas.openxmlformats.org/officeDocument/2006/relationships/ctrlProp" Target="../ctrlProps/ctrlProp246.xml"/><Relationship Id="rId72" Type="http://schemas.openxmlformats.org/officeDocument/2006/relationships/ctrlProp" Target="../ctrlProps/ctrlProp267.xml"/><Relationship Id="rId93" Type="http://schemas.openxmlformats.org/officeDocument/2006/relationships/ctrlProp" Target="../ctrlProps/ctrlProp288.xml"/><Relationship Id="rId98" Type="http://schemas.openxmlformats.org/officeDocument/2006/relationships/ctrlProp" Target="../ctrlProps/ctrlProp293.xml"/><Relationship Id="rId121" Type="http://schemas.openxmlformats.org/officeDocument/2006/relationships/ctrlProp" Target="../ctrlProps/ctrlProp316.xml"/><Relationship Id="rId3" Type="http://schemas.openxmlformats.org/officeDocument/2006/relationships/ctrlProp" Target="../ctrlProps/ctrlProp198.xml"/><Relationship Id="rId25" Type="http://schemas.openxmlformats.org/officeDocument/2006/relationships/ctrlProp" Target="../ctrlProps/ctrlProp220.xml"/><Relationship Id="rId46" Type="http://schemas.openxmlformats.org/officeDocument/2006/relationships/ctrlProp" Target="../ctrlProps/ctrlProp241.xml"/><Relationship Id="rId67" Type="http://schemas.openxmlformats.org/officeDocument/2006/relationships/ctrlProp" Target="../ctrlProps/ctrlProp262.xml"/><Relationship Id="rId116" Type="http://schemas.openxmlformats.org/officeDocument/2006/relationships/ctrlProp" Target="../ctrlProps/ctrlProp311.xml"/><Relationship Id="rId20" Type="http://schemas.openxmlformats.org/officeDocument/2006/relationships/ctrlProp" Target="../ctrlProps/ctrlProp215.xml"/><Relationship Id="rId41" Type="http://schemas.openxmlformats.org/officeDocument/2006/relationships/ctrlProp" Target="../ctrlProps/ctrlProp236.xml"/><Relationship Id="rId62" Type="http://schemas.openxmlformats.org/officeDocument/2006/relationships/ctrlProp" Target="../ctrlProps/ctrlProp257.xml"/><Relationship Id="rId83" Type="http://schemas.openxmlformats.org/officeDocument/2006/relationships/ctrlProp" Target="../ctrlProps/ctrlProp278.xml"/><Relationship Id="rId88" Type="http://schemas.openxmlformats.org/officeDocument/2006/relationships/ctrlProp" Target="../ctrlProps/ctrlProp283.xml"/><Relationship Id="rId111" Type="http://schemas.openxmlformats.org/officeDocument/2006/relationships/ctrlProp" Target="../ctrlProps/ctrlProp306.xml"/><Relationship Id="rId132" Type="http://schemas.openxmlformats.org/officeDocument/2006/relationships/ctrlProp" Target="../ctrlProps/ctrlProp327.xml"/><Relationship Id="rId15" Type="http://schemas.openxmlformats.org/officeDocument/2006/relationships/ctrlProp" Target="../ctrlProps/ctrlProp210.xml"/><Relationship Id="rId36" Type="http://schemas.openxmlformats.org/officeDocument/2006/relationships/ctrlProp" Target="../ctrlProps/ctrlProp231.xml"/><Relationship Id="rId57" Type="http://schemas.openxmlformats.org/officeDocument/2006/relationships/ctrlProp" Target="../ctrlProps/ctrlProp252.xml"/><Relationship Id="rId106" Type="http://schemas.openxmlformats.org/officeDocument/2006/relationships/ctrlProp" Target="../ctrlProps/ctrlProp301.xml"/><Relationship Id="rId127" Type="http://schemas.openxmlformats.org/officeDocument/2006/relationships/ctrlProp" Target="../ctrlProps/ctrlProp322.xml"/><Relationship Id="rId10" Type="http://schemas.openxmlformats.org/officeDocument/2006/relationships/ctrlProp" Target="../ctrlProps/ctrlProp205.xml"/><Relationship Id="rId31" Type="http://schemas.openxmlformats.org/officeDocument/2006/relationships/ctrlProp" Target="../ctrlProps/ctrlProp226.xml"/><Relationship Id="rId52" Type="http://schemas.openxmlformats.org/officeDocument/2006/relationships/ctrlProp" Target="../ctrlProps/ctrlProp247.xml"/><Relationship Id="rId73" Type="http://schemas.openxmlformats.org/officeDocument/2006/relationships/ctrlProp" Target="../ctrlProps/ctrlProp268.xml"/><Relationship Id="rId78" Type="http://schemas.openxmlformats.org/officeDocument/2006/relationships/ctrlProp" Target="../ctrlProps/ctrlProp273.xml"/><Relationship Id="rId94" Type="http://schemas.openxmlformats.org/officeDocument/2006/relationships/ctrlProp" Target="../ctrlProps/ctrlProp289.xml"/><Relationship Id="rId99" Type="http://schemas.openxmlformats.org/officeDocument/2006/relationships/ctrlProp" Target="../ctrlProps/ctrlProp294.xml"/><Relationship Id="rId101" Type="http://schemas.openxmlformats.org/officeDocument/2006/relationships/ctrlProp" Target="../ctrlProps/ctrlProp296.xml"/><Relationship Id="rId122" Type="http://schemas.openxmlformats.org/officeDocument/2006/relationships/ctrlProp" Target="../ctrlProps/ctrlProp317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26" Type="http://schemas.openxmlformats.org/officeDocument/2006/relationships/ctrlProp" Target="../ctrlProps/ctrlProp221.xml"/><Relationship Id="rId47" Type="http://schemas.openxmlformats.org/officeDocument/2006/relationships/ctrlProp" Target="../ctrlProps/ctrlProp242.xml"/><Relationship Id="rId68" Type="http://schemas.openxmlformats.org/officeDocument/2006/relationships/ctrlProp" Target="../ctrlProps/ctrlProp263.xml"/><Relationship Id="rId89" Type="http://schemas.openxmlformats.org/officeDocument/2006/relationships/ctrlProp" Target="../ctrlProps/ctrlProp284.xml"/><Relationship Id="rId112" Type="http://schemas.openxmlformats.org/officeDocument/2006/relationships/ctrlProp" Target="../ctrlProps/ctrlProp307.xml"/><Relationship Id="rId133" Type="http://schemas.openxmlformats.org/officeDocument/2006/relationships/ctrlProp" Target="../ctrlProps/ctrlProp3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01"/>
  <sheetViews>
    <sheetView tabSelected="1" zoomScaleNormal="100" zoomScaleSheetLayoutView="100" workbookViewId="0">
      <pane ySplit="3" topLeftCell="A34" activePane="bottomLeft" state="frozen"/>
      <selection pane="bottomLeft" activeCell="J94" sqref="J94"/>
    </sheetView>
  </sheetViews>
  <sheetFormatPr defaultColWidth="9" defaultRowHeight="15.75"/>
  <cols>
    <col min="1" max="1" width="9.125" style="32" customWidth="1"/>
    <col min="2" max="2" width="11.5" style="29" customWidth="1"/>
    <col min="3" max="3" width="14.25" style="5" customWidth="1"/>
    <col min="4" max="5" width="11" style="7" customWidth="1"/>
    <col min="6" max="6" width="10.125" style="7" customWidth="1"/>
    <col min="7" max="8" width="10.125" style="5" customWidth="1"/>
    <col min="9" max="9" width="11.875" style="30" customWidth="1"/>
    <col min="10" max="10" width="9.375" style="7" customWidth="1"/>
    <col min="11" max="11" width="9.125" style="7" customWidth="1"/>
    <col min="12" max="12" width="15" style="7" customWidth="1"/>
    <col min="13" max="13" width="9" style="7" customWidth="1"/>
    <col min="14" max="14" width="13.375" style="7" customWidth="1"/>
    <col min="15" max="19" width="11.625" style="15" customWidth="1"/>
    <col min="20" max="20" width="16.25" style="7" customWidth="1"/>
    <col min="21" max="21" width="13.75" style="7" customWidth="1"/>
    <col min="22" max="22" width="12.625" style="7" customWidth="1"/>
    <col min="23" max="23" width="9" style="7" hidden="1" customWidth="1"/>
    <col min="24" max="16384" width="9" style="7"/>
  </cols>
  <sheetData>
    <row r="1" spans="1:24" ht="56.25" customHeight="1">
      <c r="A1" s="28" t="s">
        <v>40</v>
      </c>
      <c r="K1" s="31"/>
      <c r="L1" s="7" t="s">
        <v>2074</v>
      </c>
    </row>
    <row r="2" spans="1:24" ht="14.25">
      <c r="B2" s="120" t="s">
        <v>0</v>
      </c>
      <c r="C2" s="121"/>
      <c r="D2" s="121"/>
      <c r="E2" s="121"/>
      <c r="F2" s="121"/>
      <c r="G2" s="121"/>
      <c r="H2" s="121"/>
      <c r="N2" s="7" t="s">
        <v>339</v>
      </c>
      <c r="S2" s="15" t="s">
        <v>292</v>
      </c>
    </row>
    <row r="3" spans="1:24" ht="14.25">
      <c r="A3" s="32" t="str">
        <f>IF(B3="",A2,B3)</f>
        <v>支店名</v>
      </c>
      <c r="B3" s="33" t="s">
        <v>2</v>
      </c>
      <c r="C3" s="34" t="s">
        <v>1</v>
      </c>
      <c r="D3" s="34" t="s">
        <v>3</v>
      </c>
      <c r="E3" s="34"/>
      <c r="F3" s="34"/>
      <c r="G3" s="34"/>
      <c r="H3" s="34"/>
      <c r="L3" s="7" t="s">
        <v>2054</v>
      </c>
      <c r="N3" s="41" t="s">
        <v>293</v>
      </c>
      <c r="O3" s="44" t="s">
        <v>253</v>
      </c>
      <c r="P3" s="45" t="s">
        <v>249</v>
      </c>
      <c r="Q3" s="45" t="s">
        <v>250</v>
      </c>
      <c r="R3" s="45" t="s">
        <v>251</v>
      </c>
      <c r="S3" s="45" t="s">
        <v>252</v>
      </c>
      <c r="T3" s="43" t="s">
        <v>290</v>
      </c>
      <c r="U3" s="7" t="s">
        <v>338</v>
      </c>
      <c r="W3" s="7" t="s">
        <v>288</v>
      </c>
      <c r="X3" s="7" t="s">
        <v>289</v>
      </c>
    </row>
    <row r="4" spans="1:24">
      <c r="A4" s="32" t="str">
        <f t="shared" ref="A4:A73" si="0">IF(B4="",A3,B4)</f>
        <v>東北</v>
      </c>
      <c r="B4" s="85" t="s">
        <v>298</v>
      </c>
      <c r="C4" s="54" t="s">
        <v>279</v>
      </c>
      <c r="D4" s="50" t="str">
        <f>VLOOKUP(O4,'111期アドレス帳'!$A$2:$F$722,6,0)</f>
        <v>端 泰志(Yasushi HATA) &lt;yasushi_hata@ha.daifuku.co.jp&gt;</v>
      </c>
      <c r="E4" s="50" t="str">
        <f>VLOOKUP(P4,'111期アドレス帳'!$A$2:$F$722,6,0)</f>
        <v xml:space="preserve"> 佐藤 加代(Kayo SATO) &lt;kayo_sato@ha.daifuku.co.jp&gt;</v>
      </c>
      <c r="F4" s="50"/>
      <c r="G4" s="55"/>
      <c r="H4" s="55"/>
      <c r="I4" s="70" t="b">
        <v>1</v>
      </c>
      <c r="L4" s="42" t="s">
        <v>265</v>
      </c>
      <c r="N4" s="92" t="s">
        <v>1820</v>
      </c>
      <c r="O4" s="92" t="s">
        <v>116</v>
      </c>
      <c r="P4" s="92" t="s">
        <v>111</v>
      </c>
      <c r="Q4" s="92"/>
      <c r="R4" s="92"/>
      <c r="S4" s="92"/>
      <c r="T4" s="42" t="s">
        <v>265</v>
      </c>
      <c r="U4" s="42" t="s">
        <v>116</v>
      </c>
      <c r="W4" s="7" t="str">
        <f t="shared" ref="W4:W73" si="1">IF(N4=U4,"〇","×")</f>
        <v>×</v>
      </c>
      <c r="X4" s="7" t="str">
        <f>IF(O4=V4,"〇","×")</f>
        <v>×</v>
      </c>
    </row>
    <row r="5" spans="1:24">
      <c r="A5" s="32" t="str">
        <f t="shared" si="0"/>
        <v>東北</v>
      </c>
      <c r="B5" s="50" t="s">
        <v>298</v>
      </c>
      <c r="C5" s="54" t="s">
        <v>60</v>
      </c>
      <c r="D5" s="50" t="str">
        <f>VLOOKUP(O5,'111期アドレス帳'!$A$2:$F$722,6,0)</f>
        <v xml:space="preserve"> 三原 靖弘(Yasuhiro MIHARA) &lt;yasuhiro_mihara@ha.daifuku.co.jp&gt;</v>
      </c>
      <c r="E5" s="50" t="str">
        <f>VLOOKUP(P5,'111期アドレス帳'!$A$2:$F$722,6,0)</f>
        <v xml:space="preserve"> 谷地 照子(Teruko YACHI) &lt;teruko_yachi@ha.daifuku.co.jp&gt;</v>
      </c>
      <c r="F5" s="50"/>
      <c r="G5" s="55"/>
      <c r="H5" s="55"/>
      <c r="I5" s="70" t="b">
        <v>1</v>
      </c>
      <c r="L5" s="42" t="s">
        <v>61</v>
      </c>
      <c r="N5" s="92" t="s">
        <v>1821</v>
      </c>
      <c r="O5" s="92" t="s">
        <v>596</v>
      </c>
      <c r="P5" s="92" t="s">
        <v>110</v>
      </c>
      <c r="Q5" s="92"/>
      <c r="R5" s="92"/>
      <c r="S5" s="92"/>
      <c r="T5" s="42" t="s">
        <v>61</v>
      </c>
      <c r="U5" s="42" t="s">
        <v>109</v>
      </c>
      <c r="W5" s="7" t="str">
        <f t="shared" si="1"/>
        <v>×</v>
      </c>
      <c r="X5" s="7" t="str">
        <f t="shared" ref="X5:X73" si="2">IF(O5=V5,"〇","×")</f>
        <v>×</v>
      </c>
    </row>
    <row r="6" spans="1:24">
      <c r="A6" s="32" t="str">
        <f t="shared" si="0"/>
        <v>東北</v>
      </c>
      <c r="B6" s="50" t="s">
        <v>298</v>
      </c>
      <c r="C6" s="54" t="s">
        <v>67</v>
      </c>
      <c r="D6" s="50" t="str">
        <f>VLOOKUP(O6,'111期アドレス帳'!$A$2:$F$722,6,0)</f>
        <v xml:space="preserve"> 早川 直希(Naoki HAYAKAWA) &lt;naoki_hayakawa@ha.daifuku.co.jp&gt;</v>
      </c>
      <c r="E6" s="50" t="str">
        <f>VLOOKUP(P6,'111期アドレス帳'!$A$2:$F$722,6,0)</f>
        <v xml:space="preserve"> 北詰 由紀子(Yukiko KOIKE) &lt;yukiko_koike@ha.daifuku.co.jp&gt;</v>
      </c>
      <c r="F6" s="50"/>
      <c r="G6" s="55"/>
      <c r="H6" s="55"/>
      <c r="I6" s="70" t="b">
        <v>1</v>
      </c>
      <c r="L6" s="42" t="s">
        <v>67</v>
      </c>
      <c r="N6" s="92" t="s">
        <v>1822</v>
      </c>
      <c r="O6" s="92" t="s">
        <v>109</v>
      </c>
      <c r="P6" s="92" t="s">
        <v>142</v>
      </c>
      <c r="Q6" s="92"/>
      <c r="R6" s="92"/>
      <c r="S6" s="92"/>
      <c r="T6" s="42" t="s">
        <v>67</v>
      </c>
      <c r="U6" s="42" t="s">
        <v>140</v>
      </c>
      <c r="W6" s="7" t="str">
        <f t="shared" si="1"/>
        <v>×</v>
      </c>
      <c r="X6" s="7" t="str">
        <f t="shared" si="2"/>
        <v>×</v>
      </c>
    </row>
    <row r="7" spans="1:24">
      <c r="A7" s="32" t="str">
        <f t="shared" si="0"/>
        <v>東北</v>
      </c>
      <c r="B7" s="50" t="s">
        <v>298</v>
      </c>
      <c r="C7" s="54" t="s">
        <v>78</v>
      </c>
      <c r="D7" s="50" t="str">
        <f>VLOOKUP(O7,'111期アドレス帳'!$A$2:$F$722,6,0)</f>
        <v xml:space="preserve"> 山内 光夫(Mitsuo YAMAUCHI) &lt;mitsuo_yamauchi@ha.daifuku.co.jp&gt;</v>
      </c>
      <c r="E7" s="50" t="str">
        <f>VLOOKUP(P7,'111期アドレス帳'!$A$2:$F$722,6,0)</f>
        <v xml:space="preserve"> 近藤 美樹子(Mikiko KONDOU) &lt;mikiko_kondou@ha.daifuku.co.jp&gt;</v>
      </c>
      <c r="F7" s="50"/>
      <c r="G7" s="55"/>
      <c r="H7" s="55"/>
      <c r="I7" s="70" t="b">
        <v>1</v>
      </c>
      <c r="L7" s="42" t="s">
        <v>78</v>
      </c>
      <c r="N7" s="92" t="s">
        <v>78</v>
      </c>
      <c r="O7" s="92" t="s">
        <v>141</v>
      </c>
      <c r="P7" s="92" t="s">
        <v>171</v>
      </c>
      <c r="Q7" s="92"/>
      <c r="R7" s="92"/>
      <c r="S7" s="92"/>
      <c r="T7" s="42" t="s">
        <v>78</v>
      </c>
      <c r="U7" s="42" t="s">
        <v>141</v>
      </c>
      <c r="V7" s="40"/>
      <c r="W7" s="7" t="str">
        <f t="shared" si="1"/>
        <v>×</v>
      </c>
      <c r="X7" s="7" t="str">
        <f t="shared" si="2"/>
        <v>×</v>
      </c>
    </row>
    <row r="8" spans="1:24">
      <c r="A8" s="32" t="str">
        <f t="shared" si="0"/>
        <v>東北</v>
      </c>
      <c r="B8" s="50" t="s">
        <v>298</v>
      </c>
      <c r="C8" s="54" t="s">
        <v>334</v>
      </c>
      <c r="D8" s="50" t="str">
        <f>VLOOKUP(O8,'111期アドレス帳'!$A$2:$F$722,6,0)</f>
        <v xml:space="preserve"> 細木 諒平(Ryouhei HOSOKI) &lt;ryouhei_hosoki@ha.daifuku.co.jp&gt;</v>
      </c>
      <c r="E8" s="50" t="str">
        <f>VLOOKUP(P8,'111期アドレス帳'!$A$2:$F$722,6,0)</f>
        <v xml:space="preserve"> 近藤 美樹子(Mikiko KONDOU) &lt;mikiko_kondou@ha.daifuku.co.jp&gt;</v>
      </c>
      <c r="F8" s="50"/>
      <c r="G8" s="55"/>
      <c r="H8" s="55"/>
      <c r="I8" s="5" t="b">
        <v>1</v>
      </c>
      <c r="K8" s="98" t="s">
        <v>2061</v>
      </c>
      <c r="L8" s="42" t="s">
        <v>2071</v>
      </c>
      <c r="M8" s="7" t="s">
        <v>2070</v>
      </c>
      <c r="N8" s="92" t="s">
        <v>334</v>
      </c>
      <c r="O8" s="92" t="s">
        <v>623</v>
      </c>
      <c r="P8" s="92" t="s">
        <v>171</v>
      </c>
      <c r="Q8" s="92"/>
      <c r="R8" s="92"/>
      <c r="S8" s="92"/>
      <c r="T8" s="42" t="s">
        <v>60</v>
      </c>
      <c r="U8" s="42" t="s">
        <v>135</v>
      </c>
      <c r="W8" s="7" t="str">
        <f t="shared" si="1"/>
        <v>×</v>
      </c>
      <c r="X8" s="7" t="str">
        <f t="shared" si="2"/>
        <v>×</v>
      </c>
    </row>
    <row r="9" spans="1:24">
      <c r="A9" s="32" t="str">
        <f t="shared" si="0"/>
        <v>東北</v>
      </c>
      <c r="B9" s="50" t="s">
        <v>298</v>
      </c>
      <c r="C9" s="54" t="s">
        <v>1823</v>
      </c>
      <c r="D9" s="50" t="str">
        <f>VLOOKUP(O9,'111期アドレス帳'!$A$2:$F$722,6,0)</f>
        <v xml:space="preserve"> 大河内 勇(Yu OKOUCHI) &lt;yu_okouchi@ha.daifuku.co.jp&gt;</v>
      </c>
      <c r="E9" s="50" t="str">
        <f>VLOOKUP(P9,'111期アドレス帳'!$A$2:$F$722,6,0)</f>
        <v xml:space="preserve"> 櫻井 歩(Ayumu SAKURAI) &lt;ayumu_sakurai@ha.daifuku.co.jp&gt;</v>
      </c>
      <c r="F9" s="50" t="str">
        <f>VLOOKUP(Q9,'111期アドレス帳'!$A$2:$F$722,6,0)</f>
        <v xml:space="preserve"> 新井 英代(Hideyo ARAI) &lt;hideyo_arai@ha.daifuku.co.jp&gt;</v>
      </c>
      <c r="G9" s="55"/>
      <c r="H9" s="55"/>
      <c r="I9" s="5" t="b">
        <v>1</v>
      </c>
      <c r="L9" s="42" t="s">
        <v>60</v>
      </c>
      <c r="N9" s="92" t="s">
        <v>1823</v>
      </c>
      <c r="O9" s="92" t="s">
        <v>112</v>
      </c>
      <c r="P9" s="92" t="s">
        <v>117</v>
      </c>
      <c r="Q9" s="92" t="s">
        <v>118</v>
      </c>
      <c r="R9" s="92"/>
      <c r="S9" s="92"/>
      <c r="T9" s="42" t="s">
        <v>115</v>
      </c>
      <c r="U9" s="42" t="s">
        <v>112</v>
      </c>
      <c r="W9" s="7" t="str">
        <f t="shared" si="1"/>
        <v>×</v>
      </c>
      <c r="X9" s="7" t="str">
        <f t="shared" si="2"/>
        <v>×</v>
      </c>
    </row>
    <row r="10" spans="1:24">
      <c r="A10" s="32" t="str">
        <f t="shared" si="0"/>
        <v>東北</v>
      </c>
      <c r="B10" s="50" t="s">
        <v>298</v>
      </c>
      <c r="C10" s="54" t="s">
        <v>1842</v>
      </c>
      <c r="D10" s="50" t="str">
        <f>VLOOKUP(O10,'111期アドレス帳'!$A$2:$F$722,6,0)</f>
        <v xml:space="preserve"> 梁取 優貴(Yuuki YANADORI) &lt;yuuki_yanadori@ha.daifuku.co.jp&gt;</v>
      </c>
      <c r="E10" s="50" t="str">
        <f>VLOOKUP(P10,'111期アドレス帳'!$A$2:$F$722,6,0)</f>
        <v xml:space="preserve"> 津久井 直樹(Naoki TSUKUI) &lt;naoki_tsukui@ha.daifuku.co.jp&gt;</v>
      </c>
      <c r="F10" s="50" t="str">
        <f>VLOOKUP(Q10,'111期アドレス帳'!$A$2:$F$722,6,0)</f>
        <v xml:space="preserve"> 藤川 真由子(Mayuko FUJIKAWA) &lt;mayuko_fujikawa@ha.daifuku.co.jp&gt;</v>
      </c>
      <c r="G10" s="55"/>
      <c r="H10" s="55"/>
      <c r="I10" s="5" t="b">
        <v>1</v>
      </c>
      <c r="L10" s="42" t="s">
        <v>115</v>
      </c>
      <c r="N10" s="92" t="s">
        <v>1842</v>
      </c>
      <c r="O10" s="92" t="s">
        <v>121</v>
      </c>
      <c r="P10" s="92" t="s">
        <v>122</v>
      </c>
      <c r="Q10" s="92" t="s">
        <v>321</v>
      </c>
      <c r="R10" s="94"/>
      <c r="S10" s="92"/>
      <c r="T10" s="42" t="s">
        <v>119</v>
      </c>
      <c r="U10" s="42" t="s">
        <v>123</v>
      </c>
      <c r="V10" s="40"/>
      <c r="W10" s="7" t="str">
        <f t="shared" si="1"/>
        <v>×</v>
      </c>
      <c r="X10" s="7" t="str">
        <f t="shared" si="2"/>
        <v>×</v>
      </c>
    </row>
    <row r="11" spans="1:24">
      <c r="A11" s="32" t="str">
        <f t="shared" si="0"/>
        <v>東北</v>
      </c>
      <c r="B11" s="50" t="s">
        <v>298</v>
      </c>
      <c r="C11" s="54" t="s">
        <v>61</v>
      </c>
      <c r="D11" s="50" t="str">
        <f>VLOOKUP(O11,'111期アドレス帳'!$A$2:$F$722,6,0)</f>
        <v xml:space="preserve"> 小亦 志興(Motoki KOMATA) &lt;motoki_komata@ha.daifuku.co.jp&gt;</v>
      </c>
      <c r="E11" s="50" t="str">
        <f>VLOOKUP(P11,'111期アドレス帳'!$A$2:$F$722,6,0)</f>
        <v xml:space="preserve"> 小原 美希(Miki OBARA) &lt;miki_obara@ha.daifuku.co.jp&gt;</v>
      </c>
      <c r="F11" s="50"/>
      <c r="G11" s="55"/>
      <c r="H11" s="55"/>
      <c r="I11" s="5" t="b">
        <v>1</v>
      </c>
      <c r="L11" s="42" t="s">
        <v>119</v>
      </c>
      <c r="N11" s="92" t="s">
        <v>61</v>
      </c>
      <c r="O11" s="92" t="s">
        <v>140</v>
      </c>
      <c r="P11" s="92" t="s">
        <v>114</v>
      </c>
      <c r="Q11" s="92"/>
      <c r="R11" s="92"/>
      <c r="S11" s="92"/>
      <c r="T11" s="42" t="s">
        <v>62</v>
      </c>
      <c r="U11" s="42" t="s">
        <v>297</v>
      </c>
      <c r="W11" s="7" t="str">
        <f t="shared" si="1"/>
        <v>×</v>
      </c>
      <c r="X11" s="7" t="str">
        <f t="shared" si="2"/>
        <v>×</v>
      </c>
    </row>
    <row r="12" spans="1:24">
      <c r="A12" s="32" t="str">
        <f t="shared" si="0"/>
        <v>北関東</v>
      </c>
      <c r="B12" s="51" t="s">
        <v>2073</v>
      </c>
      <c r="C12" s="52" t="s">
        <v>335</v>
      </c>
      <c r="D12" s="51" t="str">
        <f>VLOOKUP(O12,'111期アドレス帳'!$A$2:$F$722,6,0)</f>
        <v>太田 雅博(Masahiro OOTA) &lt;masahiro_oota@ha.daifuku.co.jp&gt;</v>
      </c>
      <c r="E12" s="51" t="str">
        <f>VLOOKUP(P12,'111期アドレス帳'!$A$2:$F$722,6,0)</f>
        <v xml:space="preserve"> 竹内 時央(Tokio TAKEUCHI) &lt;tokio_takeuchi@ha.daifuku.co.jp&gt;</v>
      </c>
      <c r="F12" s="51" t="str">
        <f>VLOOKUP(Q12,'111期アドレス帳'!$A$2:$F$722,6,0)</f>
        <v xml:space="preserve"> 鹿又 綾(Aya KANOMATA) &lt;aya_kanomata@ha.daifuku.co.jp&gt;</v>
      </c>
      <c r="G12" s="53"/>
      <c r="H12" s="53"/>
      <c r="I12" s="5" t="b">
        <v>1</v>
      </c>
      <c r="L12" s="42" t="s">
        <v>62</v>
      </c>
      <c r="N12" s="92" t="s">
        <v>335</v>
      </c>
      <c r="O12" s="92" t="s">
        <v>657</v>
      </c>
      <c r="P12" s="95" t="s">
        <v>659</v>
      </c>
      <c r="Q12" s="92" t="s">
        <v>665</v>
      </c>
      <c r="R12" s="92"/>
      <c r="S12" s="92"/>
      <c r="T12" s="42" t="s">
        <v>66</v>
      </c>
      <c r="U12" s="42" t="s">
        <v>120</v>
      </c>
      <c r="V12" s="40"/>
      <c r="W12" s="7" t="str">
        <f t="shared" si="1"/>
        <v>×</v>
      </c>
      <c r="X12" s="7" t="str">
        <f t="shared" si="2"/>
        <v>×</v>
      </c>
    </row>
    <row r="13" spans="1:24">
      <c r="A13" s="32" t="str">
        <f t="shared" si="0"/>
        <v>北関東</v>
      </c>
      <c r="B13" s="51" t="s">
        <v>2073</v>
      </c>
      <c r="C13" s="52" t="s">
        <v>336</v>
      </c>
      <c r="D13" s="51" t="str">
        <f>VLOOKUP(O13,'111期アドレス帳'!$A$2:$F$722,6,0)</f>
        <v xml:space="preserve"> 古谷野 卓弥(Takuya KOYANO) &lt;takuya_koyano@ha.daifuku.co.jp&gt;</v>
      </c>
      <c r="E13" s="51" t="str">
        <f>VLOOKUP(P13,'111期アドレス帳'!$A$2:$F$722,6,0)</f>
        <v xml:space="preserve"> 豊田 航平(Kohei TOYOTA) &lt;kohei_toyota@ha.daifuku.co.jp&gt;</v>
      </c>
      <c r="F13" s="51" t="str">
        <f>VLOOKUP(Q13,'111期アドレス帳'!$A$2:$F$722,6,0)</f>
        <v xml:space="preserve"> 鹿又 綾(Aya KANOMATA) &lt;aya_kanomata@ha.daifuku.co.jp&gt;</v>
      </c>
      <c r="G13" s="53"/>
      <c r="H13" s="53"/>
      <c r="I13" s="70" t="b">
        <v>1</v>
      </c>
      <c r="L13" s="42" t="s">
        <v>66</v>
      </c>
      <c r="N13" s="92" t="s">
        <v>336</v>
      </c>
      <c r="O13" s="92" t="s">
        <v>137</v>
      </c>
      <c r="P13" s="95" t="s">
        <v>136</v>
      </c>
      <c r="Q13" s="92" t="s">
        <v>665</v>
      </c>
      <c r="R13" s="92"/>
      <c r="S13" s="92"/>
      <c r="T13" s="42" t="s">
        <v>266</v>
      </c>
      <c r="U13" s="42" t="s">
        <v>129</v>
      </c>
      <c r="V13" s="40"/>
      <c r="W13" s="7" t="str">
        <f t="shared" si="1"/>
        <v>×</v>
      </c>
      <c r="X13" s="7" t="str">
        <f t="shared" si="2"/>
        <v>×</v>
      </c>
    </row>
    <row r="14" spans="1:24">
      <c r="A14" s="32" t="str">
        <f t="shared" si="0"/>
        <v>北関東</v>
      </c>
      <c r="B14" s="51" t="s">
        <v>2073</v>
      </c>
      <c r="C14" s="52" t="s">
        <v>337</v>
      </c>
      <c r="D14" s="51" t="str">
        <f>VLOOKUP(O14,'111期アドレス帳'!$A$2:$F$722,6,0)</f>
        <v xml:space="preserve"> 日向 翔吾(Syougo HINATA) &lt;syougo_hinata@ha.daifuku.co.jp&gt;</v>
      </c>
      <c r="E14" s="51" t="str">
        <f>VLOOKUP(P14,'111期アドレス帳'!$A$2:$F$722,6,0)</f>
        <v xml:space="preserve"> 遠藤 瑠也(Ryuya ENDO) &lt;ryuya_endo@ha.daifuku.co.jp&gt;</v>
      </c>
      <c r="F14" s="51" t="str">
        <f>VLOOKUP(Q14,'111期アドレス帳'!$A$2:$F$722,6,0)</f>
        <v xml:space="preserve"> 河野 純(Jun KONO) &lt;jun_kono@ha.daifuku.co.jp&gt;</v>
      </c>
      <c r="G14" s="53"/>
      <c r="H14" s="53"/>
      <c r="I14" s="70" t="b">
        <v>1</v>
      </c>
      <c r="L14" s="42" t="s">
        <v>266</v>
      </c>
      <c r="N14" s="92" t="s">
        <v>337</v>
      </c>
      <c r="O14" s="92" t="s">
        <v>675</v>
      </c>
      <c r="P14" s="95" t="s">
        <v>677</v>
      </c>
      <c r="Q14" s="95" t="s">
        <v>685</v>
      </c>
      <c r="R14" s="92"/>
      <c r="S14" s="92"/>
      <c r="T14" s="42" t="s">
        <v>267</v>
      </c>
      <c r="U14" s="42" t="s">
        <v>130</v>
      </c>
      <c r="V14" s="40"/>
      <c r="W14" s="7" t="str">
        <f t="shared" si="1"/>
        <v>×</v>
      </c>
      <c r="X14" s="7" t="str">
        <f t="shared" si="2"/>
        <v>×</v>
      </c>
    </row>
    <row r="15" spans="1:24">
      <c r="A15" s="32" t="str">
        <f t="shared" si="0"/>
        <v>北関東</v>
      </c>
      <c r="B15" s="51" t="s">
        <v>2073</v>
      </c>
      <c r="C15" s="52" t="s">
        <v>66</v>
      </c>
      <c r="D15" s="51" t="str">
        <f>VLOOKUP(O15,'111期アドレス帳'!$A$2:$F$722,6,0)</f>
        <v xml:space="preserve"> 松永 元気(Genki MATSUNAGA) &lt;genki_matsunaga@ha.daifuku.co.jp&gt;</v>
      </c>
      <c r="E15" s="51" t="str">
        <f>VLOOKUP(P15,'111期アドレス帳'!$A$2:$F$722,6,0)</f>
        <v xml:space="preserve"> 須野原 淨恵(Kiyoe SUNOHARA) &lt;kiyoe_sunohara@ha.daifuku.co.jp&gt;</v>
      </c>
      <c r="F15" s="51"/>
      <c r="G15" s="53"/>
      <c r="H15" s="53"/>
      <c r="I15" s="70" t="b">
        <v>1</v>
      </c>
      <c r="L15" s="42" t="s">
        <v>267</v>
      </c>
      <c r="M15" s="7" t="s">
        <v>2062</v>
      </c>
      <c r="N15" s="92" t="s">
        <v>66</v>
      </c>
      <c r="O15" s="92" t="s">
        <v>120</v>
      </c>
      <c r="P15" s="96" t="s">
        <v>139</v>
      </c>
      <c r="Q15" s="92"/>
      <c r="R15" s="92"/>
      <c r="S15" s="92"/>
      <c r="T15" s="42" t="s">
        <v>280</v>
      </c>
      <c r="U15" s="42" t="s">
        <v>317</v>
      </c>
      <c r="V15" s="40"/>
      <c r="W15" s="7" t="str">
        <f t="shared" si="1"/>
        <v>×</v>
      </c>
      <c r="X15" s="7" t="str">
        <f t="shared" si="2"/>
        <v>×</v>
      </c>
    </row>
    <row r="16" spans="1:24">
      <c r="A16" s="32" t="str">
        <f t="shared" si="0"/>
        <v>北関東</v>
      </c>
      <c r="B16" s="51" t="s">
        <v>2073</v>
      </c>
      <c r="C16" s="52" t="s">
        <v>1815</v>
      </c>
      <c r="D16" s="51" t="str">
        <f>VLOOKUP(O16,'111期アドレス帳'!$A$2:$F$722,6,0)</f>
        <v xml:space="preserve"> 重村 和矢(Kazuya SHIGEMURA) &lt;kazuya_shigemura@ha.daifuku.co.jp&gt;</v>
      </c>
      <c r="E16" s="51" t="str">
        <f>VLOOKUP(P16,'111期アドレス帳'!$A$2:$F$722,6,0)</f>
        <v xml:space="preserve"> 齊藤 千恵(Chie SAITO) &lt;chie_saito@ha.daifuku.co.jp&gt;</v>
      </c>
      <c r="F16" s="51"/>
      <c r="G16" s="53"/>
      <c r="H16" s="53"/>
      <c r="I16" s="70" t="b">
        <v>1</v>
      </c>
      <c r="L16" s="42" t="s">
        <v>280</v>
      </c>
      <c r="N16" s="92" t="s">
        <v>1815</v>
      </c>
      <c r="O16" s="92" t="s">
        <v>699</v>
      </c>
      <c r="P16" s="92" t="s">
        <v>709</v>
      </c>
      <c r="Q16" s="92"/>
      <c r="R16" s="92"/>
      <c r="S16" s="92"/>
      <c r="T16" s="42" t="s">
        <v>306</v>
      </c>
      <c r="U16" s="42" t="s">
        <v>128</v>
      </c>
      <c r="W16" s="7" t="str">
        <f t="shared" si="1"/>
        <v>×</v>
      </c>
      <c r="X16" s="7" t="str">
        <f t="shared" si="2"/>
        <v>×</v>
      </c>
    </row>
    <row r="17" spans="1:24">
      <c r="A17" s="32" t="str">
        <f t="shared" si="0"/>
        <v>北関東</v>
      </c>
      <c r="B17" s="51" t="s">
        <v>2073</v>
      </c>
      <c r="C17" s="52" t="s">
        <v>1816</v>
      </c>
      <c r="D17" s="51" t="str">
        <f>VLOOKUP(O17,'111期アドレス帳'!$A$2:$F$722,6,0)</f>
        <v xml:space="preserve"> 藤井 基晴(Motoharu FUJII) &lt;motoharu_fujii@ha.daifuku.co.jp&gt;</v>
      </c>
      <c r="E17" s="51" t="str">
        <f>VLOOKUP(P17,'111期アドレス帳'!$A$2:$F$722,6,0)</f>
        <v xml:space="preserve"> 新井 智子(Tomoko ARAI) &lt;tomoko_arai@ha.daifuku.co.jp&gt;</v>
      </c>
      <c r="F17" s="51"/>
      <c r="G17" s="53"/>
      <c r="H17" s="53"/>
      <c r="I17" s="70" t="b">
        <v>1</v>
      </c>
      <c r="L17" s="42" t="s">
        <v>306</v>
      </c>
      <c r="N17" s="92" t="s">
        <v>1816</v>
      </c>
      <c r="O17" s="92" t="s">
        <v>711</v>
      </c>
      <c r="P17" s="92" t="s">
        <v>138</v>
      </c>
      <c r="R17" s="92"/>
      <c r="S17" s="92"/>
      <c r="T17" s="42" t="s">
        <v>307</v>
      </c>
      <c r="U17" s="42" t="s">
        <v>254</v>
      </c>
      <c r="X17" s="7" t="str">
        <f t="shared" si="2"/>
        <v>×</v>
      </c>
    </row>
    <row r="18" spans="1:24">
      <c r="A18" s="32" t="str">
        <f>IF(B18="",A23,B18)</f>
        <v>東部</v>
      </c>
      <c r="B18" s="56" t="s">
        <v>299</v>
      </c>
      <c r="C18" s="57" t="s">
        <v>1824</v>
      </c>
      <c r="D18" s="56" t="str">
        <f>VLOOKUP(O18,'111期アドレス帳'!$A$2:$F$722,6,0)</f>
        <v>増田 侑規(Yuki MASUDA) &lt;yuki_masuda@ha.daifuku.co.jp&gt;</v>
      </c>
      <c r="E18" s="56" t="str">
        <f>VLOOKUP(P18,'111期アドレス帳'!$A$2:$F$722,6,0)</f>
        <v xml:space="preserve"> 中澤 綾香(Ayaka NAKAZAWA) &lt;ayaka_nakazawa-m1@ha.daifuku.co.jp&gt;</v>
      </c>
      <c r="F18" s="56"/>
      <c r="G18" s="58"/>
      <c r="H18" s="58"/>
      <c r="I18" s="70" t="b">
        <v>1</v>
      </c>
      <c r="L18" s="42" t="s">
        <v>307</v>
      </c>
      <c r="M18" s="7" t="s">
        <v>2056</v>
      </c>
      <c r="N18" s="92" t="s">
        <v>1824</v>
      </c>
      <c r="O18" s="92" t="s">
        <v>727</v>
      </c>
      <c r="P18" s="95" t="s">
        <v>737</v>
      </c>
      <c r="Q18" s="92"/>
      <c r="R18" s="92"/>
      <c r="S18" s="92"/>
      <c r="T18" s="42" t="s">
        <v>63</v>
      </c>
      <c r="U18" s="42" t="s">
        <v>134</v>
      </c>
      <c r="W18" s="7" t="str">
        <f t="shared" ref="W18:X21" si="3">IF(N18=U18,"〇","×")</f>
        <v>×</v>
      </c>
      <c r="X18" s="7" t="str">
        <f t="shared" si="3"/>
        <v>×</v>
      </c>
    </row>
    <row r="19" spans="1:24">
      <c r="A19" s="32" t="str">
        <f t="shared" si="0"/>
        <v>東部</v>
      </c>
      <c r="B19" s="56" t="s">
        <v>299</v>
      </c>
      <c r="C19" s="57" t="s">
        <v>1843</v>
      </c>
      <c r="D19" s="56" t="str">
        <f>VLOOKUP(O19,'111期アドレス帳'!$A$2:$F$722,6,0)</f>
        <v xml:space="preserve"> 大谷 真人(Masato OOTANI) &lt;masato_ootani@ha.daifuku.co.jp&gt;</v>
      </c>
      <c r="E19" s="56" t="str">
        <f>VLOOKUP(P19,'111期アドレス帳'!$A$2:$F$722,6,0)</f>
        <v xml:space="preserve"> 阿波 千絵(Chie AWA) &lt;chie_awa@ha.daifuku.co.jp&gt;</v>
      </c>
      <c r="F19" s="56"/>
      <c r="G19" s="58"/>
      <c r="H19" s="58"/>
      <c r="I19" s="5" t="b">
        <v>1</v>
      </c>
      <c r="L19" s="42" t="s">
        <v>63</v>
      </c>
      <c r="M19" s="7" t="s">
        <v>2057</v>
      </c>
      <c r="N19" s="92" t="s">
        <v>1843</v>
      </c>
      <c r="O19" s="92" t="s">
        <v>130</v>
      </c>
      <c r="P19" s="95" t="s">
        <v>275</v>
      </c>
      <c r="Q19" s="92"/>
      <c r="R19" s="92"/>
      <c r="S19" s="92"/>
      <c r="T19" s="42" t="s">
        <v>64</v>
      </c>
      <c r="U19" s="42" t="s">
        <v>133</v>
      </c>
      <c r="W19" s="7" t="str">
        <f t="shared" si="3"/>
        <v>×</v>
      </c>
      <c r="X19" s="7" t="str">
        <f t="shared" si="3"/>
        <v>×</v>
      </c>
    </row>
    <row r="20" spans="1:24">
      <c r="A20" s="32" t="str">
        <f t="shared" si="0"/>
        <v>東部</v>
      </c>
      <c r="B20" s="56" t="s">
        <v>299</v>
      </c>
      <c r="C20" s="57" t="s">
        <v>1817</v>
      </c>
      <c r="D20" s="56" t="str">
        <f>VLOOKUP(O20,'111期アドレス帳'!$A$2:$F$722,6,0)</f>
        <v xml:space="preserve"> 曽我部 寛之(Hiroyuki SOGABE) &lt;hiroyuki_sogabe@ha.daifuku.co.jp&gt;</v>
      </c>
      <c r="E20" s="56" t="str">
        <f>VLOOKUP(P20,'111期アドレス帳'!$A$2:$F$722,6,0)</f>
        <v xml:space="preserve"> 阿波 千絵(Chie AWA) &lt;chie_awa@ha.daifuku.co.jp&gt;</v>
      </c>
      <c r="F20" s="56"/>
      <c r="G20" s="58"/>
      <c r="H20" s="58"/>
      <c r="I20" s="70" t="b">
        <v>1</v>
      </c>
      <c r="L20" s="42" t="s">
        <v>64</v>
      </c>
      <c r="M20" s="7" t="s">
        <v>2055</v>
      </c>
      <c r="N20" s="92" t="s">
        <v>1817</v>
      </c>
      <c r="O20" s="92" t="s">
        <v>131</v>
      </c>
      <c r="P20" s="95" t="s">
        <v>275</v>
      </c>
      <c r="Q20" s="92"/>
      <c r="R20" s="92"/>
      <c r="S20" s="92"/>
      <c r="T20" s="42" t="s">
        <v>65</v>
      </c>
      <c r="U20" s="42" t="s">
        <v>137</v>
      </c>
      <c r="W20" s="7" t="str">
        <f t="shared" si="3"/>
        <v>×</v>
      </c>
      <c r="X20" s="7" t="str">
        <f t="shared" si="3"/>
        <v>×</v>
      </c>
    </row>
    <row r="21" spans="1:24">
      <c r="A21" s="32" t="str">
        <f>IF(B21="",A16,B21)</f>
        <v>東部</v>
      </c>
      <c r="B21" s="56" t="s">
        <v>299</v>
      </c>
      <c r="C21" s="57" t="s">
        <v>1825</v>
      </c>
      <c r="D21" s="56" t="str">
        <f>VLOOKUP(O21,'111期アドレス帳'!$A$2:$F$722,6,0)</f>
        <v xml:space="preserve"> 増渕 博巳(Hiromi MASUBUCHI) &lt;hiromi_masubuchi@ha.daifuku.co.jp&gt;</v>
      </c>
      <c r="E21" s="56" t="str">
        <f>VLOOKUP(P21,'111期アドレス帳'!$A$2:$F$722,6,0)</f>
        <v xml:space="preserve"> 高梨 とく江(Tokue TAKANASHI) &lt;tokue_takanashi@ha.daifuku.co.jp&gt;</v>
      </c>
      <c r="F21" s="56" t="str">
        <f>VLOOKUP(Q21,'111期アドレス帳'!$A$2:$F$722,6,0)</f>
        <v xml:space="preserve"> 青柳 梢(Kozue AOYAGI) &lt;kozue_aoyagi.da2@ha.daifuku.co.jp&gt;</v>
      </c>
      <c r="G21" s="58"/>
      <c r="H21" s="58"/>
      <c r="I21" s="5" t="b">
        <v>1</v>
      </c>
      <c r="J21" s="35"/>
      <c r="L21" s="42" t="s">
        <v>65</v>
      </c>
      <c r="N21" s="92" t="s">
        <v>1825</v>
      </c>
      <c r="O21" s="92" t="s">
        <v>128</v>
      </c>
      <c r="P21" s="95" t="s">
        <v>124</v>
      </c>
      <c r="Q21" s="92" t="s">
        <v>1865</v>
      </c>
      <c r="R21" s="92"/>
      <c r="S21" s="92"/>
      <c r="T21" s="42" t="s">
        <v>309</v>
      </c>
      <c r="U21" s="7" t="s">
        <v>294</v>
      </c>
      <c r="X21" s="7" t="str">
        <f t="shared" si="3"/>
        <v>×</v>
      </c>
    </row>
    <row r="22" spans="1:24">
      <c r="A22" s="32" t="str">
        <f>IF(B22="",A21,B22)</f>
        <v>東部</v>
      </c>
      <c r="B22" s="56" t="s">
        <v>299</v>
      </c>
      <c r="C22" s="57" t="s">
        <v>1844</v>
      </c>
      <c r="D22" s="56" t="str">
        <f>VLOOKUP(O22,'111期アドレス帳'!$A$2:$F$722,6,0)</f>
        <v xml:space="preserve"> 菊田 武伸(Takenobu KIKUTA) &lt;takenobu_kikuta@ha.daifuku.co.jp&gt;</v>
      </c>
      <c r="E22" s="56" t="str">
        <f>VLOOKUP(P22,'111期アドレス帳'!$A$2:$F$722,6,0)</f>
        <v xml:space="preserve"> 高梨 とく江(Tokue TAKANASHI) &lt;tokue_takanashi@ha.daifuku.co.jp&gt;</v>
      </c>
      <c r="F22" s="56" t="str">
        <f>VLOOKUP(Q22,'111期アドレス帳'!$A$2:$F$722,6,0)</f>
        <v xml:space="preserve"> 青柳 梢(Kozue AOYAGI) &lt;kozue_aoyagi.da2@ha.daifuku.co.jp&gt;</v>
      </c>
      <c r="G22" s="58"/>
      <c r="H22" s="58"/>
      <c r="I22" s="70" t="b">
        <v>1</v>
      </c>
      <c r="L22" s="42" t="s">
        <v>309</v>
      </c>
      <c r="N22" s="92" t="s">
        <v>1844</v>
      </c>
      <c r="O22" s="92" t="s">
        <v>254</v>
      </c>
      <c r="P22" s="95" t="s">
        <v>124</v>
      </c>
      <c r="Q22" s="92" t="s">
        <v>1865</v>
      </c>
      <c r="R22" s="92"/>
      <c r="S22" s="92"/>
      <c r="T22" s="42" t="s">
        <v>281</v>
      </c>
      <c r="U22" s="42" t="s">
        <v>125</v>
      </c>
      <c r="W22" s="7" t="str">
        <f t="shared" si="1"/>
        <v>×</v>
      </c>
      <c r="X22" s="7" t="str">
        <f t="shared" si="2"/>
        <v>×</v>
      </c>
    </row>
    <row r="23" spans="1:24">
      <c r="A23" s="32" t="str">
        <f>IF(B23="",A22,B23)</f>
        <v>東部</v>
      </c>
      <c r="B23" s="56" t="s">
        <v>299</v>
      </c>
      <c r="C23" s="57" t="s">
        <v>62</v>
      </c>
      <c r="D23" s="56" t="str">
        <f>VLOOKUP(O23,'111期アドレス帳'!$A$2:$F$722,6,0)</f>
        <v xml:space="preserve"> 浅野 喬行(Takayuki ASANO) &lt;takayuki_asano@ha.daifuku.co.jp&gt;</v>
      </c>
      <c r="E23" s="56" t="str">
        <f>VLOOKUP(P23,'111期アドレス帳'!$A$2:$F$722,6,0)</f>
        <v xml:space="preserve"> 浅野 愛美(Manami ASANO) &lt;manami_asano@ha.daifuku.co.jp&gt;</v>
      </c>
      <c r="F23" s="56"/>
      <c r="G23" s="58"/>
      <c r="H23" s="58"/>
      <c r="I23" s="70" t="b">
        <v>1</v>
      </c>
      <c r="L23" s="42" t="s">
        <v>281</v>
      </c>
      <c r="N23" s="92" t="s">
        <v>62</v>
      </c>
      <c r="O23" s="92" t="s">
        <v>770</v>
      </c>
      <c r="P23" s="95" t="s">
        <v>262</v>
      </c>
      <c r="Q23" s="92"/>
      <c r="R23" s="92"/>
      <c r="S23" s="92"/>
      <c r="T23" s="42" t="s">
        <v>282</v>
      </c>
      <c r="U23" s="42" t="s">
        <v>131</v>
      </c>
      <c r="V23" s="40"/>
      <c r="W23" s="7" t="str">
        <f t="shared" si="1"/>
        <v>×</v>
      </c>
      <c r="X23" s="7" t="str">
        <f t="shared" si="2"/>
        <v>×</v>
      </c>
    </row>
    <row r="24" spans="1:24">
      <c r="A24" s="32" t="str">
        <f t="shared" si="0"/>
        <v>東部</v>
      </c>
      <c r="B24" s="56" t="s">
        <v>299</v>
      </c>
      <c r="C24" s="57" t="s">
        <v>1826</v>
      </c>
      <c r="D24" s="56" t="str">
        <f>VLOOKUP(O24,'111期アドレス帳'!$A$2:$F$722,6,0)</f>
        <v xml:space="preserve"> 下山 司(Tsukasa SHIMOYAMA) &lt;tsukasa_shimoyama@ha.daifuku.co.jp&gt;</v>
      </c>
      <c r="E24" s="56" t="str">
        <f>VLOOKUP(P24,'111期アドレス帳'!$A$2:$F$722,6,0)</f>
        <v xml:space="preserve"> 冨永 清美(Kiyomi TOMINAGA) &lt;kiyomi_tominaga@ha.daifuku.co.jp&gt;</v>
      </c>
      <c r="F24" s="56"/>
      <c r="G24" s="58"/>
      <c r="H24" s="58"/>
      <c r="I24" s="70" t="b">
        <v>1</v>
      </c>
      <c r="L24" s="42" t="s">
        <v>282</v>
      </c>
      <c r="N24" s="92" t="s">
        <v>1826</v>
      </c>
      <c r="O24" s="92" t="s">
        <v>129</v>
      </c>
      <c r="P24" s="95" t="s">
        <v>132</v>
      </c>
      <c r="Q24" s="92"/>
      <c r="R24" s="92"/>
      <c r="S24" s="92"/>
      <c r="T24" s="42" t="s">
        <v>308</v>
      </c>
      <c r="U24" s="42" t="s">
        <v>318</v>
      </c>
      <c r="V24" s="40"/>
      <c r="X24" s="7" t="str">
        <f t="shared" si="2"/>
        <v>×</v>
      </c>
    </row>
    <row r="25" spans="1:24">
      <c r="A25" s="32" t="str">
        <f>IF(B25="",#REF!,B25)</f>
        <v>東部</v>
      </c>
      <c r="B25" s="56" t="s">
        <v>299</v>
      </c>
      <c r="C25" s="57" t="s">
        <v>1845</v>
      </c>
      <c r="D25" s="56" t="str">
        <f>VLOOKUP(O25,'111期アドレス帳'!$A$2:$F$722,6,0)</f>
        <v xml:space="preserve"> 西田 航(Wataru NISHIDA) &lt;wataru_nishida@ha.daifuku.co.jp&gt;</v>
      </c>
      <c r="E25" s="56" t="str">
        <f>VLOOKUP(P25,'111期アドレス帳'!$A$2:$F$722,6,0)</f>
        <v xml:space="preserve"> 前田 朋子(Tomoko MAEDA) &lt;tomoko_maeda@ha.daifuku.co.jp&gt;</v>
      </c>
      <c r="F25" s="56"/>
      <c r="G25" s="58"/>
      <c r="H25" s="58"/>
      <c r="I25" s="70" t="b">
        <v>1</v>
      </c>
      <c r="L25" s="42" t="s">
        <v>308</v>
      </c>
      <c r="N25" s="92" t="s">
        <v>1845</v>
      </c>
      <c r="O25" s="92" t="s">
        <v>127</v>
      </c>
      <c r="P25" s="95" t="s">
        <v>126</v>
      </c>
      <c r="Q25" s="92"/>
      <c r="R25" s="92"/>
      <c r="S25" s="92"/>
      <c r="T25" s="42" t="s">
        <v>74</v>
      </c>
      <c r="U25" s="42" t="s">
        <v>155</v>
      </c>
      <c r="W25" s="7" t="str">
        <f t="shared" si="1"/>
        <v>×</v>
      </c>
      <c r="X25" s="7" t="str">
        <f t="shared" si="2"/>
        <v>×</v>
      </c>
    </row>
    <row r="26" spans="1:24">
      <c r="A26" s="32" t="str">
        <f t="shared" si="0"/>
        <v>首都圏</v>
      </c>
      <c r="B26" s="62" t="s">
        <v>300</v>
      </c>
      <c r="C26" s="63" t="s">
        <v>1827</v>
      </c>
      <c r="D26" s="62" t="str">
        <f>VLOOKUP(O26,'111期アドレス帳'!$A$2:$F$722,6,0)</f>
        <v xml:space="preserve"> 大矢 恭平(Kyouhei OYA) &lt;kyouhei_oya@ha.daifuku.co.jp&gt;</v>
      </c>
      <c r="E26" s="62" t="str">
        <f>VLOOKUP(P26,'111期アドレス帳'!$A$2:$F$722,6,0)</f>
        <v xml:space="preserve"> 伊藤 彩子(Ayako FUKUYAMA) &lt;ayako_fukuyama@ha.daifuku.co.jp&gt;</v>
      </c>
      <c r="F26" s="62"/>
      <c r="G26" s="64"/>
      <c r="H26" s="64"/>
      <c r="I26" s="70" t="b">
        <v>1</v>
      </c>
      <c r="L26" s="42" t="s">
        <v>74</v>
      </c>
      <c r="N26" s="92" t="s">
        <v>1827</v>
      </c>
      <c r="O26" s="92" t="s">
        <v>155</v>
      </c>
      <c r="P26" s="95" t="s">
        <v>158</v>
      </c>
      <c r="Q26" s="92"/>
      <c r="R26" s="92"/>
      <c r="S26" s="92"/>
      <c r="T26" s="42" t="s">
        <v>75</v>
      </c>
      <c r="U26" s="42" t="s">
        <v>169</v>
      </c>
      <c r="W26" s="7" t="str">
        <f t="shared" si="1"/>
        <v>×</v>
      </c>
      <c r="X26" s="7" t="str">
        <f t="shared" si="2"/>
        <v>×</v>
      </c>
    </row>
    <row r="27" spans="1:24">
      <c r="A27" s="32" t="str">
        <f>IF(B27="",#REF!,B27)</f>
        <v>首都圏</v>
      </c>
      <c r="B27" s="62" t="s">
        <v>300</v>
      </c>
      <c r="C27" s="63" t="s">
        <v>1846</v>
      </c>
      <c r="D27" s="62" t="str">
        <f>VLOOKUP(O27,'111期アドレス帳'!$A$2:$F$722,6,0)</f>
        <v xml:space="preserve"> 大朝 洋平(Youhei OOTOMO) &lt;youhei_ootomo@ha.daifuku.co.jp&gt;</v>
      </c>
      <c r="E27" s="62" t="str">
        <f>VLOOKUP(P27,'111期アドレス帳'!$A$2:$F$722,6,0)</f>
        <v xml:space="preserve"> 青沼 麻智子(Machiko AONUMA) &lt;machiko_aonuma@ha.daifuku.co.jp&gt;</v>
      </c>
      <c r="F27" s="62"/>
      <c r="G27" s="64"/>
      <c r="H27" s="64"/>
      <c r="I27" s="5" t="b">
        <v>1</v>
      </c>
      <c r="L27" s="42" t="s">
        <v>75</v>
      </c>
      <c r="N27" s="92" t="s">
        <v>1846</v>
      </c>
      <c r="O27" s="92" t="s">
        <v>147</v>
      </c>
      <c r="P27" s="95" t="s">
        <v>161</v>
      </c>
      <c r="Q27" s="92"/>
      <c r="R27" s="92"/>
      <c r="S27" s="92"/>
      <c r="T27" s="42" t="s">
        <v>76</v>
      </c>
      <c r="U27" s="42" t="s">
        <v>147</v>
      </c>
      <c r="W27" s="7" t="str">
        <f t="shared" si="1"/>
        <v>×</v>
      </c>
      <c r="X27" s="7" t="str">
        <f t="shared" ref="X27:X32" si="4">IF(O27=V27,"〇","×")</f>
        <v>×</v>
      </c>
    </row>
    <row r="28" spans="1:24">
      <c r="A28" s="32" t="str">
        <f>IF(B28="",#REF!,B28)</f>
        <v>首都圏</v>
      </c>
      <c r="B28" s="62" t="s">
        <v>300</v>
      </c>
      <c r="C28" s="63" t="s">
        <v>76</v>
      </c>
      <c r="D28" s="62" t="str">
        <f>VLOOKUP(O28,'111期アドレス帳'!$A$2:$F$722,6,0)</f>
        <v xml:space="preserve"> 田村 大樹(Hiroki TAMURA) &lt;hiroki_tamura@ha.daifuku.co.jp&gt;</v>
      </c>
      <c r="E28" s="62" t="str">
        <f>VLOOKUP(P28,'111期アドレス帳'!$A$2:$F$722,6,0)</f>
        <v xml:space="preserve"> 田代 圭子(Keiko TASHIRO) &lt;keiko_tashiro@ha.daifuku.co.jp&gt;</v>
      </c>
      <c r="F28" s="62"/>
      <c r="G28" s="64"/>
      <c r="H28" s="64"/>
      <c r="I28" s="5" t="b">
        <v>1</v>
      </c>
      <c r="L28" s="42" t="s">
        <v>76</v>
      </c>
      <c r="N28" s="92" t="s">
        <v>76</v>
      </c>
      <c r="O28" s="92" t="s">
        <v>827</v>
      </c>
      <c r="P28" s="95" t="s">
        <v>156</v>
      </c>
      <c r="Q28" s="92"/>
      <c r="R28" s="92"/>
      <c r="S28" s="92"/>
      <c r="T28" s="42" t="s">
        <v>164</v>
      </c>
      <c r="U28" s="42" t="s">
        <v>170</v>
      </c>
      <c r="V28" s="40"/>
      <c r="W28" s="7" t="str">
        <f>IF(N28=U28,"〇","×")</f>
        <v>×</v>
      </c>
      <c r="X28" s="7" t="str">
        <f t="shared" si="4"/>
        <v>×</v>
      </c>
    </row>
    <row r="29" spans="1:24">
      <c r="A29" s="32" t="str">
        <f>IF(B29="",#REF!,B29)</f>
        <v>首都圏</v>
      </c>
      <c r="B29" s="62" t="s">
        <v>300</v>
      </c>
      <c r="C29" s="63" t="s">
        <v>1828</v>
      </c>
      <c r="D29" s="62" t="str">
        <f>VLOOKUP(O29,'111期アドレス帳'!$A$2:$F$722,6,0)</f>
        <v xml:space="preserve"> 山下 賢(Ken YAMASHITA) &lt;ken_yamashita@ha.daifuku.co.jp&gt;</v>
      </c>
      <c r="E29" s="62" t="str">
        <f>VLOOKUP(P29,'111期アドレス帳'!$A$2:$F$722,6,0)</f>
        <v xml:space="preserve"> 高木 佑輔(Yusuke TAKAKI) &lt;yusuke_takaki@ha.daifuku.co.jp&gt;</v>
      </c>
      <c r="F29" s="62" t="str">
        <f>VLOOKUP(Q29,'111期アドレス帳'!$A$2:$F$722,6,0)</f>
        <v xml:space="preserve"> 和泉 真由美(Mayumi IZUMI) &lt;mayumi_izumi@ha.daifuku.co.jp&gt;</v>
      </c>
      <c r="G29" s="64"/>
      <c r="H29" s="64"/>
      <c r="I29" s="70" t="b">
        <v>1</v>
      </c>
      <c r="L29" s="42" t="s">
        <v>164</v>
      </c>
      <c r="N29" s="92" t="s">
        <v>1828</v>
      </c>
      <c r="O29" s="92" t="s">
        <v>170</v>
      </c>
      <c r="P29" s="95" t="s">
        <v>165</v>
      </c>
      <c r="Q29" s="95" t="s">
        <v>167</v>
      </c>
      <c r="R29" s="92"/>
      <c r="S29" s="92"/>
      <c r="T29" s="42" t="s">
        <v>168</v>
      </c>
      <c r="U29" s="42" t="s">
        <v>166</v>
      </c>
      <c r="W29" s="7" t="str">
        <f>IF(N29=U29,"〇","×")</f>
        <v>×</v>
      </c>
      <c r="X29" s="7" t="str">
        <f t="shared" si="4"/>
        <v>×</v>
      </c>
    </row>
    <row r="30" spans="1:24">
      <c r="A30" s="32" t="str">
        <f>IF(B30="",A27,B30)</f>
        <v>首都圏</v>
      </c>
      <c r="B30" s="62" t="s">
        <v>300</v>
      </c>
      <c r="C30" s="63" t="s">
        <v>1847</v>
      </c>
      <c r="D30" s="62" t="str">
        <f>VLOOKUP(O30,'111期アドレス帳'!$A$2:$F$722,6,0)</f>
        <v xml:space="preserve"> 古川 悠斗(Yuto FURUKAWA) &lt;yuto_furukawa@ha.daifuku.co.jp&gt;</v>
      </c>
      <c r="E30" s="62" t="str">
        <f>VLOOKUP(P30,'111期アドレス帳'!$A$2:$F$722,6,0)</f>
        <v xml:space="preserve"> 和泉 真由美(Mayumi IZUMI) &lt;mayumi_izumi@ha.daifuku.co.jp&gt;</v>
      </c>
      <c r="F30" s="62" t="str">
        <f>VLOOKUP(Q30,'111期アドレス帳'!$A$2:$F$722,6,0)</f>
        <v xml:space="preserve"> 小俣 麗(Rei OMATA) &lt;rei_omata.da2@ha.daifuku.co.jp&gt;</v>
      </c>
      <c r="G30" s="64"/>
      <c r="H30" s="64"/>
      <c r="I30" s="5" t="b">
        <v>1</v>
      </c>
      <c r="K30" s="98" t="s">
        <v>2065</v>
      </c>
      <c r="L30" s="42" t="s">
        <v>168</v>
      </c>
      <c r="M30" s="7" t="s">
        <v>2058</v>
      </c>
      <c r="N30" s="92" t="s">
        <v>1847</v>
      </c>
      <c r="O30" s="92" t="s">
        <v>166</v>
      </c>
      <c r="P30" s="95" t="s">
        <v>167</v>
      </c>
      <c r="Q30" s="92" t="s">
        <v>1866</v>
      </c>
      <c r="R30" s="92"/>
      <c r="S30" s="92"/>
      <c r="T30" s="42" t="s">
        <v>77</v>
      </c>
      <c r="U30" s="42" t="s">
        <v>322</v>
      </c>
      <c r="W30" s="7" t="str">
        <f>IF(N30=U30,"〇","×")</f>
        <v>×</v>
      </c>
      <c r="X30" s="7" t="str">
        <f t="shared" si="4"/>
        <v>×</v>
      </c>
    </row>
    <row r="31" spans="1:24">
      <c r="A31" s="32" t="str">
        <f t="shared" si="0"/>
        <v>首都圏</v>
      </c>
      <c r="B31" s="62" t="s">
        <v>300</v>
      </c>
      <c r="C31" s="63" t="s">
        <v>1829</v>
      </c>
      <c r="D31" s="62" t="str">
        <f>VLOOKUP(O31,'111期アドレス帳'!$A$2:$F$722,6,0)</f>
        <v xml:space="preserve"> 志村 航平(Kouhei SHIMURA) &lt;kouhei_shimura@ha.daifuku.co.jp&gt;</v>
      </c>
      <c r="E31" s="62" t="str">
        <f>VLOOKUP(P31,'111期アドレス帳'!$A$2:$F$722,6,0)</f>
        <v xml:space="preserve"> 佐藤 千恵(Chie SATO) &lt;chie_sato@ha.daifuku.co.jp&gt;</v>
      </c>
      <c r="F31" s="62"/>
      <c r="G31" s="64"/>
      <c r="H31" s="64"/>
      <c r="I31" s="70" t="b">
        <v>1</v>
      </c>
      <c r="K31" s="98" t="s">
        <v>2061</v>
      </c>
      <c r="L31" s="42" t="s">
        <v>2059</v>
      </c>
      <c r="M31" s="7" t="s">
        <v>2060</v>
      </c>
      <c r="N31" s="92" t="s">
        <v>1829</v>
      </c>
      <c r="O31" s="92" t="s">
        <v>858</v>
      </c>
      <c r="P31" s="95" t="s">
        <v>263</v>
      </c>
      <c r="Q31" s="92"/>
      <c r="R31" s="92"/>
      <c r="S31" s="92"/>
      <c r="T31" s="7" t="s">
        <v>162</v>
      </c>
      <c r="U31" s="42" t="s">
        <v>157</v>
      </c>
      <c r="X31" s="7" t="str">
        <f t="shared" si="4"/>
        <v>×</v>
      </c>
    </row>
    <row r="32" spans="1:24">
      <c r="A32" s="32" t="str">
        <f t="shared" si="0"/>
        <v>首都圏</v>
      </c>
      <c r="B32" s="62" t="s">
        <v>300</v>
      </c>
      <c r="C32" s="63" t="s">
        <v>1848</v>
      </c>
      <c r="D32" s="62" t="str">
        <f>VLOOKUP(O32,'111期アドレス帳'!$A$2:$F$722,6,0)</f>
        <v xml:space="preserve"> 川島 徹哉(Tetsuya KAWASHIMA) &lt;tetsuya_kawashima@ha.daifuku.co.jp&gt;</v>
      </c>
      <c r="E32" s="62" t="str">
        <f>VLOOKUP(P32,'111期アドレス帳'!$A$2:$F$722,6,0)</f>
        <v xml:space="preserve"> 佐藤 千恵(Chie SATO) &lt;chie_sato@ha.daifuku.co.jp&gt;</v>
      </c>
      <c r="F32" s="62"/>
      <c r="G32" s="64"/>
      <c r="H32" s="64"/>
      <c r="I32" s="5" t="b">
        <v>1</v>
      </c>
      <c r="L32" s="42" t="s">
        <v>77</v>
      </c>
      <c r="N32" s="92" t="s">
        <v>1848</v>
      </c>
      <c r="O32" s="92" t="s">
        <v>865</v>
      </c>
      <c r="P32" s="95" t="s">
        <v>263</v>
      </c>
      <c r="Q32" s="92"/>
      <c r="R32" s="92"/>
      <c r="S32" s="92"/>
      <c r="T32" s="42" t="s">
        <v>310</v>
      </c>
      <c r="U32" s="42" t="s">
        <v>323</v>
      </c>
      <c r="X32" s="7" t="str">
        <f t="shared" si="4"/>
        <v>×</v>
      </c>
    </row>
    <row r="33" spans="1:24">
      <c r="A33" s="32" t="str">
        <f t="shared" si="0"/>
        <v>首都圏</v>
      </c>
      <c r="B33" s="62" t="s">
        <v>300</v>
      </c>
      <c r="C33" s="63" t="s">
        <v>1830</v>
      </c>
      <c r="D33" s="62" t="str">
        <f>VLOOKUP(O33,'111期アドレス帳'!$A$2:$F$722,6,0)</f>
        <v xml:space="preserve"> 丹下 将成(Masanari TANNGE) &lt;masanari_tannge@ha.daifuku.co.jp&gt;</v>
      </c>
      <c r="E33" s="62" t="str">
        <f>VLOOKUP(P33,'111期アドレス帳'!$A$2:$F$722,6,0)</f>
        <v>yuko_takada.da2@ha.daifuku.co.jp</v>
      </c>
      <c r="F33" s="62"/>
      <c r="G33" s="64"/>
      <c r="H33" s="64"/>
      <c r="I33" s="70" t="b">
        <v>1</v>
      </c>
      <c r="L33" s="42" t="s">
        <v>162</v>
      </c>
      <c r="N33" s="92" t="s">
        <v>1830</v>
      </c>
      <c r="O33" s="92" t="s">
        <v>157</v>
      </c>
      <c r="P33" s="95" t="s">
        <v>2076</v>
      </c>
      <c r="Q33" s="92"/>
      <c r="R33" s="92"/>
      <c r="S33" s="92"/>
      <c r="T33" s="42" t="s">
        <v>68</v>
      </c>
      <c r="U33" s="42" t="s">
        <v>143</v>
      </c>
      <c r="W33" s="7" t="str">
        <f t="shared" si="1"/>
        <v>×</v>
      </c>
      <c r="X33" s="7" t="str">
        <f t="shared" si="2"/>
        <v>×</v>
      </c>
    </row>
    <row r="34" spans="1:24">
      <c r="A34" s="32" t="str">
        <f t="shared" si="0"/>
        <v>首都圏</v>
      </c>
      <c r="B34" s="62" t="s">
        <v>300</v>
      </c>
      <c r="C34" s="63" t="s">
        <v>1849</v>
      </c>
      <c r="D34" s="62" t="str">
        <f>VLOOKUP(O34,'111期アドレス帳'!$A$2:$F$722,6,0)</f>
        <v xml:space="preserve"> 森 俊輔(Shunsuke MORI) &lt;shunsuke_mori@ha.daifuku.co.jp&gt;</v>
      </c>
      <c r="E34" s="62" t="str">
        <f>VLOOKUP(P34,'111期アドレス帳'!$A$2:$F$722,6,0)</f>
        <v>yuko_takada.da2@ha.daifuku.co.jp</v>
      </c>
      <c r="F34" s="62"/>
      <c r="G34" s="64"/>
      <c r="H34" s="64"/>
      <c r="I34" s="70" t="b">
        <v>1</v>
      </c>
      <c r="L34" s="42" t="s">
        <v>310</v>
      </c>
      <c r="N34" s="92" t="s">
        <v>1849</v>
      </c>
      <c r="O34" s="92" t="s">
        <v>886</v>
      </c>
      <c r="P34" s="92" t="s">
        <v>2075</v>
      </c>
      <c r="Q34" s="92"/>
      <c r="R34" s="92"/>
      <c r="S34" s="92"/>
      <c r="T34" s="42" t="s">
        <v>69</v>
      </c>
      <c r="U34" s="42" t="s">
        <v>159</v>
      </c>
      <c r="W34" s="7" t="str">
        <f t="shared" si="1"/>
        <v>×</v>
      </c>
      <c r="X34" s="7" t="str">
        <f t="shared" si="2"/>
        <v>×</v>
      </c>
    </row>
    <row r="35" spans="1:24">
      <c r="A35" s="32" t="str">
        <f t="shared" si="0"/>
        <v>西関東</v>
      </c>
      <c r="B35" s="59" t="s">
        <v>301</v>
      </c>
      <c r="C35" s="60" t="s">
        <v>1831</v>
      </c>
      <c r="D35" s="59" t="str">
        <f>VLOOKUP(O35,'111期アドレス帳'!$A$2:$F$722,6,0)</f>
        <v xml:space="preserve"> 横田 暁(Akira YOKOTA) &lt;akira_yokota@ha.daifuku.co.jp&gt;</v>
      </c>
      <c r="E35" s="59" t="str">
        <f>VLOOKUP(P35,'111期アドレス帳'!$A$2:$F$722,6,0)</f>
        <v xml:space="preserve"> 鍵本 和幸(Kazuyuki KAGIMOTO) &lt;kazuyuki_kagimoto@ha.daifuku.co.jp&gt;</v>
      </c>
      <c r="F35" s="59" t="str">
        <f>VLOOKUP(Q35,'111期アドレス帳'!$A$2:$F$722,6,0)</f>
        <v xml:space="preserve"> 黒羽 由美(Yumi KUROHA) &lt;yumi_kuroha@ha.daifuku.co.jp&gt;</v>
      </c>
      <c r="G35" s="61"/>
      <c r="H35" s="61"/>
      <c r="I35" s="70" t="b">
        <v>1</v>
      </c>
      <c r="L35" s="42" t="s">
        <v>68</v>
      </c>
      <c r="N35" s="92" t="s">
        <v>1831</v>
      </c>
      <c r="O35" s="92" t="s">
        <v>148</v>
      </c>
      <c r="P35" s="95" t="s">
        <v>146</v>
      </c>
      <c r="Q35" s="95" t="s">
        <v>144</v>
      </c>
      <c r="R35" s="95"/>
      <c r="S35" s="92"/>
      <c r="T35" s="42" t="s">
        <v>71</v>
      </c>
      <c r="U35" s="42" t="s">
        <v>148</v>
      </c>
      <c r="W35" s="7" t="str">
        <f t="shared" si="1"/>
        <v>×</v>
      </c>
      <c r="X35" s="7" t="str">
        <f t="shared" si="2"/>
        <v>×</v>
      </c>
    </row>
    <row r="36" spans="1:24">
      <c r="A36" s="32" t="str">
        <f t="shared" si="0"/>
        <v>西関東</v>
      </c>
      <c r="B36" s="59" t="s">
        <v>301</v>
      </c>
      <c r="C36" s="60" t="s">
        <v>1850</v>
      </c>
      <c r="D36" s="59" t="str">
        <f>VLOOKUP(O36,'111期アドレス帳'!$A$2:$F$722,6,0)</f>
        <v xml:space="preserve"> 島田 理基(Masaki SHIMADA) &lt;masaki_shimada@ha.daifuku.co.jp&gt;</v>
      </c>
      <c r="E36" s="59" t="str">
        <f>VLOOKUP(P36,'111期アドレス帳'!$A$2:$F$722,6,0)</f>
        <v xml:space="preserve"> 沼上 純(Jyun NUMAGAMI) &lt;jyun_numagami@ha.daifuku.co.jp&gt;</v>
      </c>
      <c r="F36" s="59"/>
      <c r="G36" s="61"/>
      <c r="H36" s="61"/>
      <c r="I36" s="70" t="b">
        <v>1</v>
      </c>
      <c r="K36" s="98"/>
      <c r="L36" s="42" t="s">
        <v>69</v>
      </c>
      <c r="N36" s="92" t="s">
        <v>1850</v>
      </c>
      <c r="O36" s="92" t="s">
        <v>159</v>
      </c>
      <c r="P36" s="95" t="s">
        <v>914</v>
      </c>
      <c r="Q36" s="92"/>
      <c r="R36" s="92"/>
      <c r="S36" s="92"/>
      <c r="T36" s="42" t="s">
        <v>72</v>
      </c>
      <c r="U36" s="42" t="s">
        <v>152</v>
      </c>
      <c r="W36" s="7" t="str">
        <f t="shared" si="1"/>
        <v>×</v>
      </c>
      <c r="X36" s="7" t="str">
        <f t="shared" si="2"/>
        <v>×</v>
      </c>
    </row>
    <row r="37" spans="1:24">
      <c r="A37" s="32" t="str">
        <f t="shared" si="0"/>
        <v>西関東</v>
      </c>
      <c r="B37" s="59" t="s">
        <v>301</v>
      </c>
      <c r="C37" s="60" t="s">
        <v>1861</v>
      </c>
      <c r="D37" s="59" t="str">
        <f>VLOOKUP(O37,'111期アドレス帳'!$A$2:$F$722,6,0)</f>
        <v xml:space="preserve"> 石井 湧人(Yuto ISHII) &lt;yuto_ishii@ha.daifuku.co.jp&gt;</v>
      </c>
      <c r="E37" s="59" t="str">
        <f>VLOOKUP(P37,'111期アドレス帳'!$A$2:$F$722,6,0)</f>
        <v xml:space="preserve"> 黒羽 由美(Yumi KUROHA) &lt;yumi_kuroha@ha.daifuku.co.jp&gt;</v>
      </c>
      <c r="F37" s="59"/>
      <c r="G37" s="61"/>
      <c r="H37" s="61"/>
      <c r="I37" s="5" t="b">
        <v>1</v>
      </c>
      <c r="K37" s="98" t="s">
        <v>2061</v>
      </c>
      <c r="L37" s="42" t="s">
        <v>2071</v>
      </c>
      <c r="M37" s="7" t="s">
        <v>2072</v>
      </c>
      <c r="N37" s="92" t="s">
        <v>1861</v>
      </c>
      <c r="O37" s="92" t="s">
        <v>918</v>
      </c>
      <c r="P37" s="95" t="s">
        <v>144</v>
      </c>
      <c r="Q37" s="92"/>
      <c r="R37" s="92"/>
      <c r="S37" s="92"/>
      <c r="T37" s="42" t="s">
        <v>73</v>
      </c>
      <c r="U37" s="42" t="s">
        <v>153</v>
      </c>
      <c r="W37" s="7" t="str">
        <f t="shared" si="1"/>
        <v>×</v>
      </c>
      <c r="X37" s="7" t="str">
        <f t="shared" si="2"/>
        <v>×</v>
      </c>
    </row>
    <row r="38" spans="1:24">
      <c r="A38" s="32" t="str">
        <f t="shared" si="0"/>
        <v>西関東</v>
      </c>
      <c r="B38" s="59" t="s">
        <v>301</v>
      </c>
      <c r="C38" s="60" t="s">
        <v>2584</v>
      </c>
      <c r="D38" s="59" t="str">
        <f>VLOOKUP(O38,'111期アドレス帳'!$A$2:$F$722,6,0)</f>
        <v xml:space="preserve"> 川本 亨(Akira KAWAMOTO) &lt;akira_kawamoto@ha.daifuku.co.jp&gt;</v>
      </c>
      <c r="E38" s="59" t="str">
        <f>VLOOKUP(P38,'111期アドレス帳'!$A$2:$F$722,6,0)</f>
        <v xml:space="preserve"> 菊田 紀子(Noriko KIKUTA) &lt;noriko_kikuta@ha.daifuku.co.jp&gt;</v>
      </c>
      <c r="F38" s="59"/>
      <c r="G38" s="61"/>
      <c r="H38" s="61"/>
      <c r="I38" s="5" t="b">
        <v>1</v>
      </c>
      <c r="K38" s="98" t="s">
        <v>2065</v>
      </c>
      <c r="L38" s="42" t="s">
        <v>71</v>
      </c>
      <c r="M38" s="7" t="s">
        <v>2063</v>
      </c>
      <c r="N38" s="92" t="s">
        <v>2584</v>
      </c>
      <c r="O38" s="92" t="s">
        <v>928</v>
      </c>
      <c r="P38" s="95" t="s">
        <v>149</v>
      </c>
      <c r="Q38" s="92"/>
      <c r="R38" s="92"/>
      <c r="S38" s="92"/>
      <c r="T38" s="42" t="s">
        <v>87</v>
      </c>
      <c r="U38" s="42" t="s">
        <v>192</v>
      </c>
      <c r="W38" s="7" t="str">
        <f t="shared" si="1"/>
        <v>×</v>
      </c>
      <c r="X38" s="7" t="str">
        <f t="shared" si="2"/>
        <v>×</v>
      </c>
    </row>
    <row r="39" spans="1:24">
      <c r="A39" s="32" t="str">
        <f t="shared" si="0"/>
        <v>西関東</v>
      </c>
      <c r="B39" s="59" t="s">
        <v>301</v>
      </c>
      <c r="C39" s="60" t="s">
        <v>2585</v>
      </c>
      <c r="D39" s="59" t="str">
        <f>VLOOKUP(O39,'111期アドレス帳'!$A$2:$F$722,6,0)</f>
        <v xml:space="preserve"> 坂本 浩基(Hiroki SAKAMOTO) &lt;hiroki_sakamoto-m1@ha.daifuku.co.jp&gt;</v>
      </c>
      <c r="E39" s="59" t="str">
        <f>VLOOKUP(P39,'111期アドレス帳'!$A$2:$F$722,6,0)</f>
        <v xml:space="preserve"> 菊田 紀子(Noriko KIKUTA) &lt;noriko_kikuta@ha.daifuku.co.jp&gt;</v>
      </c>
      <c r="F39" s="59"/>
      <c r="G39" s="61"/>
      <c r="H39" s="61"/>
      <c r="I39" s="5" t="b">
        <v>1</v>
      </c>
      <c r="K39" s="98" t="s">
        <v>2061</v>
      </c>
      <c r="L39" s="42" t="s">
        <v>71</v>
      </c>
      <c r="M39" s="7" t="s">
        <v>2064</v>
      </c>
      <c r="N39" s="92" t="s">
        <v>2585</v>
      </c>
      <c r="O39" s="92" t="s">
        <v>937</v>
      </c>
      <c r="P39" s="95" t="s">
        <v>149</v>
      </c>
      <c r="Q39" s="92"/>
      <c r="R39" s="92"/>
      <c r="S39" s="92"/>
      <c r="T39" s="42" t="s">
        <v>70</v>
      </c>
      <c r="U39" s="7" t="s">
        <v>145</v>
      </c>
      <c r="W39" s="7" t="str">
        <f t="shared" si="1"/>
        <v>×</v>
      </c>
      <c r="X39" s="7" t="str">
        <f t="shared" si="2"/>
        <v>×</v>
      </c>
    </row>
    <row r="40" spans="1:24">
      <c r="A40" s="32" t="str">
        <f t="shared" si="0"/>
        <v>西関東</v>
      </c>
      <c r="B40" s="59" t="s">
        <v>301</v>
      </c>
      <c r="C40" s="60" t="s">
        <v>72</v>
      </c>
      <c r="D40" s="59" t="str">
        <f>VLOOKUP(O40,'111期アドレス帳'!$A$2:$F$722,6,0)</f>
        <v xml:space="preserve"> 浅川 宜隆(Yoshitaka ASAKAWA) &lt;yoshitaka_asakawa@ha.daifuku.co.jp&gt;</v>
      </c>
      <c r="E40" s="59" t="str">
        <f>VLOOKUP(P40,'111期アドレス帳'!$A$2:$F$722,6,0)</f>
        <v xml:space="preserve"> 小堀 隆朗(Takaaki KOBORI) &lt;takaaki_kobori@ha.daifuku.co.jp&gt;</v>
      </c>
      <c r="F40" s="59" t="str">
        <f>VLOOKUP(Q40,'111期アドレス帳'!$A$2:$F$722,6,0)</f>
        <v xml:space="preserve"> 鈴木 裕美(Hiromi SUZUKI) &lt;hiromi_suzuki@ha.daifuku.co.jp&gt;</v>
      </c>
      <c r="G40" s="61"/>
      <c r="H40" s="61"/>
      <c r="I40" s="5" t="b">
        <v>1</v>
      </c>
      <c r="L40" s="42" t="s">
        <v>72</v>
      </c>
      <c r="N40" s="92" t="s">
        <v>72</v>
      </c>
      <c r="O40" s="92" t="s">
        <v>152</v>
      </c>
      <c r="P40" s="95" t="s">
        <v>150</v>
      </c>
      <c r="Q40" s="95" t="s">
        <v>151</v>
      </c>
      <c r="R40" s="92"/>
      <c r="S40" s="92"/>
      <c r="T40" s="42" t="s">
        <v>86</v>
      </c>
      <c r="U40" s="42" t="s">
        <v>194</v>
      </c>
      <c r="W40" s="7" t="str">
        <f t="shared" si="1"/>
        <v>×</v>
      </c>
      <c r="X40" s="7" t="str">
        <f t="shared" si="2"/>
        <v>×</v>
      </c>
    </row>
    <row r="41" spans="1:24">
      <c r="A41" s="32" t="str">
        <f t="shared" si="0"/>
        <v>西関東</v>
      </c>
      <c r="B41" s="59" t="s">
        <v>301</v>
      </c>
      <c r="C41" s="60" t="s">
        <v>73</v>
      </c>
      <c r="D41" s="59" t="str">
        <f>VLOOKUP(O41,'111期アドレス帳'!$A$2:$F$722,6,0)</f>
        <v xml:space="preserve"> 木村 光(Akira KIMURA) &lt;akira_kimura@ha.daifuku.co.jp&gt;</v>
      </c>
      <c r="E41" s="59" t="str">
        <f>VLOOKUP(P41,'111期アドレス帳'!$A$2:$F$722,6,0)</f>
        <v xml:space="preserve"> 清水 珠美(Tamami SHIMIZU) &lt;tamami_shimizu@ha.daifuku.co.jp&gt;</v>
      </c>
      <c r="F41" s="59"/>
      <c r="G41" s="61"/>
      <c r="H41" s="61"/>
      <c r="I41" s="70" t="b">
        <v>1</v>
      </c>
      <c r="L41" s="42" t="s">
        <v>73</v>
      </c>
      <c r="N41" s="92" t="s">
        <v>73</v>
      </c>
      <c r="O41" s="92" t="s">
        <v>153</v>
      </c>
      <c r="P41" s="95" t="s">
        <v>154</v>
      </c>
      <c r="Q41" s="92"/>
      <c r="R41" s="92"/>
      <c r="S41" s="92"/>
      <c r="T41" s="42" t="s">
        <v>79</v>
      </c>
      <c r="U41" s="7" t="s">
        <v>177</v>
      </c>
      <c r="W41" s="7" t="str">
        <f t="shared" si="1"/>
        <v>×</v>
      </c>
      <c r="X41" s="7" t="str">
        <f t="shared" si="2"/>
        <v>×</v>
      </c>
    </row>
    <row r="42" spans="1:24">
      <c r="A42" s="32" t="str">
        <f t="shared" si="0"/>
        <v>西関東</v>
      </c>
      <c r="B42" s="59" t="s">
        <v>301</v>
      </c>
      <c r="C42" s="60" t="s">
        <v>87</v>
      </c>
      <c r="D42" s="59" t="str">
        <f>VLOOKUP(O42,'111期アドレス帳'!$A$2:$F$722,6,0)</f>
        <v xml:space="preserve"> 井口 亮(Ryo IGUCHI) &lt;ryo_iguchi@ha.daifuku.co.jp&gt;</v>
      </c>
      <c r="E42" s="59" t="str">
        <f>VLOOKUP(P42,'111期アドレス帳'!$A$2:$F$722,6,0)</f>
        <v xml:space="preserve"> 芳澤 和子(Kazuko YOSHIZAWA) &lt;kazuko_yoshizawa@ha.daifuku.co.jp&gt;</v>
      </c>
      <c r="F42" s="59"/>
      <c r="G42" s="61"/>
      <c r="H42" s="61"/>
      <c r="I42" s="70" t="b">
        <v>1</v>
      </c>
      <c r="L42" s="42" t="s">
        <v>87</v>
      </c>
      <c r="N42" s="92" t="s">
        <v>87</v>
      </c>
      <c r="O42" s="92" t="s">
        <v>192</v>
      </c>
      <c r="P42" s="95" t="s">
        <v>195</v>
      </c>
      <c r="Q42" s="92"/>
      <c r="R42" s="92"/>
      <c r="S42" s="92"/>
      <c r="T42" s="42" t="s">
        <v>80</v>
      </c>
      <c r="U42" s="42" t="s">
        <v>174</v>
      </c>
      <c r="W42" s="7" t="str">
        <f t="shared" si="1"/>
        <v>×</v>
      </c>
      <c r="X42" s="7" t="str">
        <f t="shared" si="2"/>
        <v>×</v>
      </c>
    </row>
    <row r="43" spans="1:24">
      <c r="A43" s="32" t="str">
        <f t="shared" si="0"/>
        <v>西関東</v>
      </c>
      <c r="B43" s="59" t="s">
        <v>301</v>
      </c>
      <c r="C43" s="60" t="s">
        <v>70</v>
      </c>
      <c r="D43" s="59" t="str">
        <f>VLOOKUP(O43,'111期アドレス帳'!$A$2:$F$722,6,0)</f>
        <v xml:space="preserve"> 森武 光平(Kouhei MORITAKE) &lt;kouhei_moritake@ha.daifuku.co.jp&gt;</v>
      </c>
      <c r="E43" s="59" t="str">
        <f>VLOOKUP(P43,'111期アドレス帳'!$A$2:$F$722,6,0)</f>
        <v xml:space="preserve"> 小林 麻由美(Mayumi KOBAYASHI) &lt;mayumi_kobayashi@ha.daifuku.co.jp&gt;</v>
      </c>
      <c r="F43" s="59"/>
      <c r="G43" s="61"/>
      <c r="H43" s="61"/>
      <c r="I43" s="70" t="b">
        <v>1</v>
      </c>
      <c r="L43" s="42" t="s">
        <v>70</v>
      </c>
      <c r="N43" s="92" t="s">
        <v>70</v>
      </c>
      <c r="O43" s="92" t="s">
        <v>145</v>
      </c>
      <c r="P43" s="95" t="s">
        <v>264</v>
      </c>
      <c r="Q43" s="92"/>
      <c r="R43" s="92"/>
      <c r="S43" s="92"/>
      <c r="T43" s="42" t="s">
        <v>248</v>
      </c>
      <c r="U43" s="42" t="s">
        <v>277</v>
      </c>
      <c r="W43" s="7" t="str">
        <f t="shared" si="1"/>
        <v>×</v>
      </c>
      <c r="X43" s="7" t="str">
        <f t="shared" si="2"/>
        <v>×</v>
      </c>
    </row>
    <row r="44" spans="1:24">
      <c r="A44" s="32" t="str">
        <f t="shared" si="0"/>
        <v>西関東</v>
      </c>
      <c r="B44" s="59" t="s">
        <v>301</v>
      </c>
      <c r="C44" s="60" t="s">
        <v>86</v>
      </c>
      <c r="D44" s="59" t="str">
        <f>VLOOKUP(O44,'111期アドレス帳'!$A$2:$F$722,6,0)</f>
        <v xml:space="preserve"> 山田 雅博(Masahiro YAMADA) &lt;masahiro_yamada@ha.daifuku.co.jp&gt;</v>
      </c>
      <c r="E44" s="59" t="str">
        <f>VLOOKUP(P44,'111期アドレス帳'!$A$2:$F$722,6,0)</f>
        <v xml:space="preserve"> 和田 宏子(Hiroko WADA) &lt;hiroko_wada@ha.daifuku.co.jp&gt;</v>
      </c>
      <c r="F44" s="59"/>
      <c r="G44" s="61"/>
      <c r="H44" s="61"/>
      <c r="I44" s="70" t="b">
        <v>1</v>
      </c>
      <c r="L44" s="42" t="s">
        <v>86</v>
      </c>
      <c r="N44" s="92" t="s">
        <v>86</v>
      </c>
      <c r="O44" s="92" t="s">
        <v>194</v>
      </c>
      <c r="P44" s="95" t="s">
        <v>972</v>
      </c>
      <c r="Q44" s="92"/>
      <c r="R44" s="92"/>
      <c r="S44" s="92"/>
      <c r="T44" s="42" t="s">
        <v>283</v>
      </c>
      <c r="U44" s="42" t="s">
        <v>185</v>
      </c>
      <c r="V44" s="40"/>
      <c r="W44" s="7" t="str">
        <f t="shared" si="1"/>
        <v>×</v>
      </c>
      <c r="X44" s="7" t="str">
        <f t="shared" si="2"/>
        <v>×</v>
      </c>
    </row>
    <row r="45" spans="1:24">
      <c r="A45" s="32" t="str">
        <f t="shared" si="0"/>
        <v>中部</v>
      </c>
      <c r="B45" s="76" t="s">
        <v>302</v>
      </c>
      <c r="C45" s="77" t="s">
        <v>1832</v>
      </c>
      <c r="D45" s="76" t="str">
        <f>VLOOKUP(O45,'111期アドレス帳'!$A$2:$F$722,6,0)</f>
        <v>大川 浄也(Jyouya OKAWA) &lt;jyouya_okawa@ha.daifuku.co.jp&gt;</v>
      </c>
      <c r="E45" s="76" t="str">
        <f>VLOOKUP(P45,'111期アドレス帳'!$A$2:$F$722,6,0)</f>
        <v xml:space="preserve"> 福岡 久美子(Kumiko FUKUOKA) &lt;kumiko_fukuoka-m1@ha.daifuku.co.jp&gt;</v>
      </c>
      <c r="F45" s="76"/>
      <c r="G45" s="78"/>
      <c r="H45" s="78"/>
      <c r="I45" s="5" t="b">
        <v>1</v>
      </c>
      <c r="L45" s="42" t="s">
        <v>79</v>
      </c>
      <c r="N45" s="92" t="s">
        <v>1832</v>
      </c>
      <c r="O45" s="92" t="s">
        <v>177</v>
      </c>
      <c r="P45" s="95" t="s">
        <v>175</v>
      </c>
      <c r="Q45" s="92"/>
      <c r="R45" s="92"/>
      <c r="S45" s="92"/>
      <c r="T45" s="42" t="s">
        <v>82</v>
      </c>
      <c r="U45" s="42" t="s">
        <v>183</v>
      </c>
      <c r="V45" s="40"/>
      <c r="W45" s="7" t="str">
        <f t="shared" si="1"/>
        <v>×</v>
      </c>
      <c r="X45" s="7" t="str">
        <f t="shared" si="2"/>
        <v>×</v>
      </c>
    </row>
    <row r="46" spans="1:24">
      <c r="A46" s="32" t="str">
        <f t="shared" si="0"/>
        <v>中部</v>
      </c>
      <c r="B46" s="76" t="s">
        <v>302</v>
      </c>
      <c r="C46" s="77" t="s">
        <v>1851</v>
      </c>
      <c r="D46" s="76" t="str">
        <f>VLOOKUP(O46,'111期アドレス帳'!$A$2:$F$722,6,0)</f>
        <v xml:space="preserve"> 中野 祐一(Yuichi NAKANO) &lt;yuichi_nakano@ha.daifuku.co.jp&gt;</v>
      </c>
      <c r="E46" s="76" t="str">
        <f>VLOOKUP(P46,'111期アドレス帳'!$A$2:$F$722,6,0)</f>
        <v xml:space="preserve"> 太田 麻美(Asami OTA) &lt;asami_ota@ha.daifuku.co.jp&gt;</v>
      </c>
      <c r="F46" s="76"/>
      <c r="G46" s="78"/>
      <c r="H46" s="78"/>
      <c r="I46" s="70" t="b">
        <v>1</v>
      </c>
      <c r="L46" s="42" t="s">
        <v>80</v>
      </c>
      <c r="N46" s="92" t="s">
        <v>1851</v>
      </c>
      <c r="O46" s="92" t="s">
        <v>174</v>
      </c>
      <c r="P46" s="95" t="s">
        <v>276</v>
      </c>
      <c r="Q46" s="92"/>
      <c r="R46" s="92"/>
      <c r="S46" s="92"/>
      <c r="T46" s="42" t="s">
        <v>85</v>
      </c>
      <c r="U46" s="42" t="s">
        <v>319</v>
      </c>
      <c r="W46" s="7" t="str">
        <f t="shared" si="1"/>
        <v>×</v>
      </c>
      <c r="X46" s="7" t="str">
        <f t="shared" si="2"/>
        <v>×</v>
      </c>
    </row>
    <row r="47" spans="1:24">
      <c r="A47" s="32" t="str">
        <f t="shared" si="0"/>
        <v>中部</v>
      </c>
      <c r="B47" s="76" t="s">
        <v>302</v>
      </c>
      <c r="C47" s="77" t="s">
        <v>1862</v>
      </c>
      <c r="D47" s="76" t="str">
        <f>VLOOKUP(O47,'111期アドレス帳'!$A$2:$F$722,6,0)</f>
        <v xml:space="preserve"> 小林 徹也(Tetsuya KOBAYASI) &lt;tetsuya_kobayasi@ha.daifuku.co.jp&gt;</v>
      </c>
      <c r="E47" s="76" t="str">
        <f>VLOOKUP(P47,'111期アドレス帳'!$A$2:$F$722,6,0)</f>
        <v xml:space="preserve"> 青木 あや子(Ayako AOKI) &lt;ayako_aoki@ha.daifuku.co.jp&gt;</v>
      </c>
      <c r="F47" s="76"/>
      <c r="G47" s="78"/>
      <c r="H47" s="78"/>
      <c r="I47" s="5" t="b">
        <v>1</v>
      </c>
      <c r="L47" s="42" t="s">
        <v>248</v>
      </c>
      <c r="N47" s="92" t="s">
        <v>1862</v>
      </c>
      <c r="O47" s="92" t="s">
        <v>277</v>
      </c>
      <c r="P47" s="95" t="s">
        <v>172</v>
      </c>
      <c r="Q47" s="92"/>
      <c r="R47" s="92"/>
      <c r="S47" s="92"/>
      <c r="T47" s="42" t="s">
        <v>311</v>
      </c>
      <c r="U47" s="42" t="s">
        <v>180</v>
      </c>
      <c r="W47" s="7" t="str">
        <f t="shared" si="1"/>
        <v>×</v>
      </c>
      <c r="X47" s="7" t="str">
        <f t="shared" si="2"/>
        <v>×</v>
      </c>
    </row>
    <row r="48" spans="1:24">
      <c r="A48" s="32" t="str">
        <f t="shared" si="0"/>
        <v>中部</v>
      </c>
      <c r="B48" s="76" t="s">
        <v>302</v>
      </c>
      <c r="C48" s="77" t="s">
        <v>283</v>
      </c>
      <c r="D48" s="76" t="str">
        <f>VLOOKUP(O48,'111期アドレス帳'!$A$2:$F$722,6,0)</f>
        <v xml:space="preserve"> 小川 紘平(Kohei OGAWA) &lt;kohei_ogawa@ha.daifuku.co.jp&gt;</v>
      </c>
      <c r="E48" s="76" t="str">
        <f>VLOOKUP(P48,'111期アドレス帳'!$A$2:$F$722,6,0)</f>
        <v xml:space="preserve"> 青木 あや子(Ayako AOKI) &lt;ayako_aoki@ha.daifuku.co.jp&gt;</v>
      </c>
      <c r="F48" s="76" t="str">
        <f>VLOOKUP(Q48,'111期アドレス帳'!$A$2:$F$722,6,0)</f>
        <v xml:space="preserve"> 福岡 久美子(Kumiko FUKUOKA) &lt;kumiko_fukuoka-m1@ha.daifuku.co.jp&gt;</v>
      </c>
      <c r="G48" s="78"/>
      <c r="H48" s="78"/>
      <c r="I48" s="5" t="b">
        <v>1</v>
      </c>
      <c r="L48" s="42" t="s">
        <v>283</v>
      </c>
      <c r="N48" s="92" t="s">
        <v>283</v>
      </c>
      <c r="O48" s="92" t="s">
        <v>1002</v>
      </c>
      <c r="P48" s="95" t="s">
        <v>172</v>
      </c>
      <c r="Q48" s="95" t="s">
        <v>175</v>
      </c>
      <c r="R48" s="92"/>
      <c r="S48" s="92"/>
      <c r="T48" s="42" t="s">
        <v>312</v>
      </c>
      <c r="U48" s="42" t="s">
        <v>320</v>
      </c>
      <c r="X48" s="7" t="str">
        <f t="shared" si="2"/>
        <v>×</v>
      </c>
    </row>
    <row r="49" spans="1:25">
      <c r="A49" s="32" t="str">
        <f>IF(B49="",A47,B49)</f>
        <v>中部</v>
      </c>
      <c r="B49" s="76" t="s">
        <v>302</v>
      </c>
      <c r="C49" s="77" t="s">
        <v>82</v>
      </c>
      <c r="D49" s="76" t="str">
        <f>VLOOKUP(O49,'111期アドレス帳'!$A$2:$F$722,6,0)</f>
        <v xml:space="preserve"> 向川 英希(Hideki MUKAIGAWA) &lt;hideki_mukaigawa@ha.daifuku.co.jp&gt;</v>
      </c>
      <c r="E49" s="76" t="str">
        <f>VLOOKUP(P49,'111期アドレス帳'!$A$2:$F$722,6,0)</f>
        <v xml:space="preserve"> 大竹 友美(Tomomi OTAKE) &lt;tomomi_otake@ha.daifuku.co.jp&gt;</v>
      </c>
      <c r="F49" s="76"/>
      <c r="G49" s="78"/>
      <c r="H49" s="78"/>
      <c r="I49" s="5" t="b">
        <v>1</v>
      </c>
      <c r="L49" s="42" t="s">
        <v>82</v>
      </c>
      <c r="N49" s="92" t="s">
        <v>82</v>
      </c>
      <c r="O49" s="92" t="s">
        <v>183</v>
      </c>
      <c r="P49" s="95" t="s">
        <v>179</v>
      </c>
      <c r="Q49" s="92"/>
      <c r="R49" s="92"/>
      <c r="S49" s="92"/>
      <c r="T49" s="42" t="s">
        <v>268</v>
      </c>
      <c r="U49" s="42" t="s">
        <v>193</v>
      </c>
      <c r="W49" s="7" t="str">
        <f t="shared" si="1"/>
        <v>×</v>
      </c>
      <c r="X49" s="7" t="str">
        <f t="shared" si="2"/>
        <v>×</v>
      </c>
    </row>
    <row r="50" spans="1:25">
      <c r="A50" s="32" t="str">
        <f t="shared" si="0"/>
        <v>中部</v>
      </c>
      <c r="B50" s="76" t="s">
        <v>302</v>
      </c>
      <c r="C50" s="77" t="s">
        <v>85</v>
      </c>
      <c r="D50" s="76" t="str">
        <f>VLOOKUP(O50,'111期アドレス帳'!$A$2:$F$722,6,0)</f>
        <v xml:space="preserve"> 玉井 正輝(Masaki TAMAI) &lt;masaki_tamai@ha.daifuku.co.jp&gt;</v>
      </c>
      <c r="E50" s="76" t="str">
        <f>VLOOKUP(P50,'111期アドレス帳'!$A$2:$F$722,6,0)</f>
        <v xml:space="preserve"> 田中 由美(Yumi TANAKA) &lt;yumi_tanaka@ha.daifuku.co.jp&gt;</v>
      </c>
      <c r="F50" s="76"/>
      <c r="G50" s="78"/>
      <c r="H50" s="78"/>
      <c r="I50" s="5" t="b">
        <v>1</v>
      </c>
      <c r="L50" s="42" t="s">
        <v>85</v>
      </c>
      <c r="N50" s="92" t="s">
        <v>85</v>
      </c>
      <c r="O50" s="92" t="s">
        <v>1015</v>
      </c>
      <c r="P50" s="95" t="s">
        <v>190</v>
      </c>
      <c r="Q50" s="92"/>
      <c r="R50" s="92"/>
      <c r="S50" s="92"/>
      <c r="T50" s="42" t="s">
        <v>269</v>
      </c>
      <c r="U50" s="42" t="s">
        <v>191</v>
      </c>
      <c r="W50" s="7" t="str">
        <f t="shared" si="1"/>
        <v>×</v>
      </c>
      <c r="X50" s="7" t="str">
        <f t="shared" si="2"/>
        <v>×</v>
      </c>
    </row>
    <row r="51" spans="1:25">
      <c r="A51" s="32" t="str">
        <f>IF(B51="",A52,B51)</f>
        <v>中部</v>
      </c>
      <c r="B51" s="76" t="s">
        <v>302</v>
      </c>
      <c r="C51" s="77" t="s">
        <v>1833</v>
      </c>
      <c r="D51" s="76" t="str">
        <f>VLOOKUP(O51,'111期アドレス帳'!$A$2:$F$722,6,0)</f>
        <v xml:space="preserve"> 近藤 啓介(Keisuke KONDO) &lt;keisuke_kondo@ha.daifuku.co.jp&gt;</v>
      </c>
      <c r="E51" s="76" t="str">
        <f>VLOOKUP(P51,'111期アドレス帳'!$A$2:$F$722,6,0)</f>
        <v xml:space="preserve"> 塚本 里沙(Risa TSUKAMOTO) &lt;risa_tsukamoto@ha.daifuku.co.jp&gt;</v>
      </c>
      <c r="F51" s="76"/>
      <c r="G51" s="78"/>
      <c r="H51" s="78"/>
      <c r="I51" s="70" t="b">
        <v>1</v>
      </c>
      <c r="L51" s="42" t="s">
        <v>311</v>
      </c>
      <c r="N51" s="92" t="s">
        <v>1833</v>
      </c>
      <c r="O51" s="92" t="s">
        <v>1024</v>
      </c>
      <c r="P51" s="95" t="s">
        <v>182</v>
      </c>
      <c r="Q51" s="92"/>
      <c r="R51" s="92"/>
      <c r="S51" s="92"/>
      <c r="T51" s="42" t="s">
        <v>84</v>
      </c>
      <c r="U51" s="42" t="s">
        <v>176</v>
      </c>
      <c r="V51" s="40"/>
      <c r="W51" s="7" t="str">
        <f>IF(N51=U51,"〇","×")</f>
        <v>×</v>
      </c>
      <c r="X51" s="7" t="str">
        <f>IF(O51=V51,"〇","×")</f>
        <v>×</v>
      </c>
    </row>
    <row r="52" spans="1:25">
      <c r="A52" s="32" t="str">
        <f>IF(B52="",A50,B52)</f>
        <v>中部</v>
      </c>
      <c r="B52" s="76" t="s">
        <v>302</v>
      </c>
      <c r="C52" s="77" t="s">
        <v>1852</v>
      </c>
      <c r="D52" s="76" t="str">
        <f>VLOOKUP(O52,'111期アドレス帳'!$A$2:$F$722,6,0)</f>
        <v xml:space="preserve"> 山下 圭祐(Keisuke YAMASHITA) &lt;keisuke_yamashita@ha.daifuku.co.jp&gt;</v>
      </c>
      <c r="E52" s="76" t="str">
        <f>VLOOKUP(P52,'111期アドレス帳'!$A$2:$F$722,6,0)</f>
        <v>原 久美子(Kumiko HARA) &lt;kumiko_hara.da2@ha.daifuku.co.jp&gt;</v>
      </c>
      <c r="F52" s="76"/>
      <c r="G52" s="78"/>
      <c r="H52" s="78"/>
      <c r="I52" s="70" t="b">
        <v>1</v>
      </c>
      <c r="L52" s="42" t="s">
        <v>312</v>
      </c>
      <c r="N52" s="92" t="s">
        <v>1852</v>
      </c>
      <c r="O52" s="92" t="s">
        <v>1029</v>
      </c>
      <c r="P52" s="92" t="s">
        <v>1867</v>
      </c>
      <c r="Q52" s="92"/>
      <c r="R52" s="92"/>
      <c r="S52" s="92"/>
      <c r="T52" s="42" t="s">
        <v>83</v>
      </c>
      <c r="U52" s="42" t="s">
        <v>178</v>
      </c>
      <c r="V52" s="40"/>
      <c r="W52" s="7" t="str">
        <f>IF(N52=U52,"〇","×")</f>
        <v>×</v>
      </c>
      <c r="X52" s="7" t="str">
        <f>IF(O52=V52,"〇","×")</f>
        <v>×</v>
      </c>
    </row>
    <row r="53" spans="1:25">
      <c r="A53" s="32" t="str">
        <f>IF(B53="",A51,B53)</f>
        <v>中部</v>
      </c>
      <c r="B53" s="76" t="s">
        <v>302</v>
      </c>
      <c r="C53" s="77" t="s">
        <v>1834</v>
      </c>
      <c r="D53" s="76" t="str">
        <f>VLOOKUP(O53,'111期アドレス帳'!$A$2:$F$722,6,0)</f>
        <v xml:space="preserve"> 相宮 健一(Kenichi AIMIYA) &lt;kenichi_aimiya@ha.daifuku.co.jp&gt;</v>
      </c>
      <c r="E53" s="76" t="str">
        <f>VLOOKUP(P53,'111期アドレス帳'!$A$2:$F$722,6,0)</f>
        <v xml:space="preserve"> 村田 美紀(Miki OHTA) &lt;miki_ohta@ha.daifuku.co.jp&gt;</v>
      </c>
      <c r="F53" s="76"/>
      <c r="G53" s="78"/>
      <c r="H53" s="78"/>
      <c r="I53" s="70" t="b">
        <v>1</v>
      </c>
      <c r="L53" s="42" t="s">
        <v>268</v>
      </c>
      <c r="N53" s="92" t="s">
        <v>1834</v>
      </c>
      <c r="O53" s="92" t="s">
        <v>193</v>
      </c>
      <c r="P53" s="95" t="s">
        <v>184</v>
      </c>
      <c r="Q53" s="92"/>
      <c r="R53" s="92"/>
      <c r="S53" s="92"/>
      <c r="T53" s="42" t="s">
        <v>81</v>
      </c>
      <c r="U53" s="42" t="s">
        <v>181</v>
      </c>
      <c r="V53" s="40"/>
      <c r="W53" s="7" t="str">
        <f t="shared" si="1"/>
        <v>×</v>
      </c>
      <c r="X53" s="7" t="str">
        <f t="shared" si="2"/>
        <v>×</v>
      </c>
    </row>
    <row r="54" spans="1:25">
      <c r="A54" s="32" t="str">
        <f t="shared" si="0"/>
        <v>中部</v>
      </c>
      <c r="B54" s="76" t="s">
        <v>302</v>
      </c>
      <c r="C54" s="77" t="s">
        <v>1853</v>
      </c>
      <c r="D54" s="76" t="str">
        <f>VLOOKUP(O54,'111期アドレス帳'!$A$2:$F$722,6,0)</f>
        <v xml:space="preserve"> 中尾 僚太(Ryouta NAKAO) &lt;ryouta_nakao@ha.daifuku.co.jp&gt;</v>
      </c>
      <c r="E54" s="76" t="str">
        <f>VLOOKUP(P54,'111期アドレス帳'!$A$2:$F$722,6,0)</f>
        <v xml:space="preserve"> 久保田 友美(Tomomi KUBOTA) &lt;tomomi_kubota@ha.daifuku.co.jp&gt;</v>
      </c>
      <c r="F54" s="76"/>
      <c r="G54" s="78"/>
      <c r="H54" s="78"/>
      <c r="I54" s="5" t="b">
        <v>1</v>
      </c>
      <c r="L54" s="42" t="s">
        <v>269</v>
      </c>
      <c r="N54" s="92" t="s">
        <v>1853</v>
      </c>
      <c r="O54" s="92" t="s">
        <v>1044</v>
      </c>
      <c r="P54" s="95" t="s">
        <v>1051</v>
      </c>
      <c r="Q54" s="92"/>
      <c r="R54" s="92"/>
      <c r="S54" s="92"/>
      <c r="T54" s="42" t="s">
        <v>88</v>
      </c>
      <c r="U54" s="42" t="s">
        <v>207</v>
      </c>
      <c r="W54" s="7" t="str">
        <f t="shared" si="1"/>
        <v>×</v>
      </c>
      <c r="X54" s="7" t="str">
        <f t="shared" si="2"/>
        <v>×</v>
      </c>
    </row>
    <row r="55" spans="1:25">
      <c r="A55" s="32" t="str">
        <f t="shared" si="0"/>
        <v>中部</v>
      </c>
      <c r="B55" s="76" t="s">
        <v>302</v>
      </c>
      <c r="C55" s="77" t="s">
        <v>84</v>
      </c>
      <c r="D55" s="76" t="str">
        <f>VLOOKUP(O55,'111期アドレス帳'!$A$2:$F$722,6,0)</f>
        <v xml:space="preserve"> 秋田 峻(Syun AKITA) &lt;syun_akita@ha.daifuku.co.jp&gt;</v>
      </c>
      <c r="E55" s="76" t="str">
        <f>VLOOKUP(P55,'111期アドレス帳'!$A$2:$F$722,6,0)</f>
        <v xml:space="preserve"> 高瀬 弓利子(Yuriko TAKASE) &lt;yuriko_takase@ha.daifuku.co.jp&gt;</v>
      </c>
      <c r="F55" s="76"/>
      <c r="G55" s="78"/>
      <c r="H55" s="78"/>
      <c r="I55" s="70" t="b">
        <v>1</v>
      </c>
      <c r="L55" s="42" t="s">
        <v>84</v>
      </c>
      <c r="N55" s="92" t="s">
        <v>84</v>
      </c>
      <c r="O55" s="92" t="s">
        <v>176</v>
      </c>
      <c r="P55" s="95" t="s">
        <v>188</v>
      </c>
      <c r="Q55" s="92"/>
      <c r="R55" s="92"/>
      <c r="S55" s="92"/>
      <c r="T55" s="42" t="s">
        <v>89</v>
      </c>
      <c r="U55" s="42" t="s">
        <v>203</v>
      </c>
      <c r="W55" s="7" t="str">
        <f t="shared" si="1"/>
        <v>×</v>
      </c>
      <c r="X55" s="7" t="str">
        <f t="shared" si="2"/>
        <v>×</v>
      </c>
    </row>
    <row r="56" spans="1:25">
      <c r="A56" s="32" t="str">
        <f t="shared" si="0"/>
        <v>中部</v>
      </c>
      <c r="B56" s="76" t="s">
        <v>302</v>
      </c>
      <c r="C56" s="77" t="s">
        <v>83</v>
      </c>
      <c r="D56" s="76" t="str">
        <f>VLOOKUP(O56,'111期アドレス帳'!$A$2:$F$722,6,0)</f>
        <v xml:space="preserve"> 三崎 敬祐(Keisuke MISAKI) &lt;keisuke_misaki@ha.daifuku.co.jp&gt;</v>
      </c>
      <c r="E56" s="76" t="str">
        <f>VLOOKUP(P56,'111期アドレス帳'!$A$2:$F$722,6,0)</f>
        <v xml:space="preserve"> 石崎 竜次(Ryuuji ISHIZAKI) &lt;ryuuji_ishizaki@ha.daifuku.co.jp&gt;</v>
      </c>
      <c r="F56" s="76" t="str">
        <f>VLOOKUP(Q56,'111期アドレス帳'!$A$2:$F$722,6,0)</f>
        <v xml:space="preserve"> 中川 美佐子(Misako NAKAGAWA) &lt;misako_nakagawa@ha.daifuku.co.jp&gt;</v>
      </c>
      <c r="G56" s="78"/>
      <c r="H56" s="78"/>
      <c r="I56" s="5" t="b">
        <v>1</v>
      </c>
      <c r="L56" s="42" t="s">
        <v>83</v>
      </c>
      <c r="N56" s="92" t="s">
        <v>83</v>
      </c>
      <c r="O56" s="92" t="s">
        <v>178</v>
      </c>
      <c r="P56" s="95" t="s">
        <v>186</v>
      </c>
      <c r="Q56" s="95" t="s">
        <v>187</v>
      </c>
      <c r="R56" s="92"/>
      <c r="S56" s="92"/>
      <c r="T56" s="42" t="s">
        <v>313</v>
      </c>
      <c r="U56" s="42" t="s">
        <v>221</v>
      </c>
      <c r="W56" s="7" t="str">
        <f t="shared" si="1"/>
        <v>×</v>
      </c>
      <c r="X56" s="7" t="str">
        <f t="shared" si="2"/>
        <v>×</v>
      </c>
    </row>
    <row r="57" spans="1:25">
      <c r="A57" s="32" t="str">
        <f t="shared" si="0"/>
        <v>中部</v>
      </c>
      <c r="B57" s="76" t="s">
        <v>302</v>
      </c>
      <c r="C57" s="77" t="s">
        <v>81</v>
      </c>
      <c r="D57" s="76" t="str">
        <f>VLOOKUP(O57,'111期アドレス帳'!$A$2:$F$722,6,0)</f>
        <v xml:space="preserve"> 松井 翼(Tsubasa MATSUI) &lt;tsubasa_matsui@ha.daifuku.co.jp&gt;</v>
      </c>
      <c r="E57" s="76" t="str">
        <f>VLOOKUP(P57,'111期アドレス帳'!$A$2:$F$722,6,0)</f>
        <v xml:space="preserve"> 橋本 康平(Kouhei HASHIMOTO) &lt;kouhei_hashimoto@ha.daifuku.co.jp&gt;</v>
      </c>
      <c r="F57" s="76" t="str">
        <f>VLOOKUP(Q57,'111期アドレス帳'!$A$2:$F$722,6,0)</f>
        <v>noriko_shigeno-m1@ha.daifuku.co.jp</v>
      </c>
      <c r="G57" s="78"/>
      <c r="H57" s="78"/>
      <c r="I57" s="70" t="b">
        <v>1</v>
      </c>
      <c r="L57" s="42" t="s">
        <v>81</v>
      </c>
      <c r="N57" s="92" t="s">
        <v>81</v>
      </c>
      <c r="O57" s="92" t="s">
        <v>181</v>
      </c>
      <c r="P57" s="95" t="s">
        <v>173</v>
      </c>
      <c r="Q57" s="92" t="s">
        <v>1868</v>
      </c>
      <c r="R57" s="92"/>
      <c r="S57" s="92"/>
      <c r="T57" s="42" t="s">
        <v>270</v>
      </c>
      <c r="U57" s="42" t="s">
        <v>217</v>
      </c>
      <c r="W57" s="7" t="str">
        <f t="shared" si="1"/>
        <v>×</v>
      </c>
      <c r="X57" s="7" t="str">
        <f t="shared" si="2"/>
        <v>×</v>
      </c>
      <c r="Y57" s="68"/>
    </row>
    <row r="58" spans="1:25">
      <c r="A58" s="32" t="str">
        <f t="shared" si="0"/>
        <v>大阪</v>
      </c>
      <c r="B58" s="65" t="s">
        <v>303</v>
      </c>
      <c r="C58" s="66" t="s">
        <v>1835</v>
      </c>
      <c r="D58" s="65" t="str">
        <f>VLOOKUP(O58,'111期アドレス帳'!$A$2:$F$722,6,0)</f>
        <v xml:space="preserve"> 中平 貴之(Takayuki NAKAHIRA) &lt;takayuki_nakahira@ha.daifuku.co.jp&gt;</v>
      </c>
      <c r="E58" s="65" t="str">
        <f>VLOOKUP(P58,'111期アドレス帳'!$A$2:$F$722,6,0)</f>
        <v xml:space="preserve"> 福井 美帆(Miho FUKUI) &lt;miho_fukui@ha.daifuku.co.jp&gt;</v>
      </c>
      <c r="F58" s="65" t="str">
        <f>VLOOKUP(Q58,'111期アドレス帳'!$A$2:$F$722,6,0)</f>
        <v>naoto_yamahata@ha.daifuku.co.jp</v>
      </c>
      <c r="G58" s="67"/>
      <c r="H58" s="67"/>
      <c r="I58" s="70" t="b">
        <v>1</v>
      </c>
      <c r="L58" s="42" t="s">
        <v>88</v>
      </c>
      <c r="N58" s="92" t="s">
        <v>1835</v>
      </c>
      <c r="O58" s="92" t="s">
        <v>207</v>
      </c>
      <c r="P58" s="95" t="s">
        <v>325</v>
      </c>
      <c r="Q58" s="92" t="s">
        <v>2582</v>
      </c>
      <c r="R58" s="92"/>
      <c r="S58" s="92"/>
      <c r="T58" s="42" t="s">
        <v>271</v>
      </c>
      <c r="U58" s="42" t="s">
        <v>160</v>
      </c>
      <c r="W58" s="7" t="str">
        <f t="shared" si="1"/>
        <v>×</v>
      </c>
      <c r="X58" s="7" t="str">
        <f t="shared" si="2"/>
        <v>×</v>
      </c>
      <c r="Y58" s="68"/>
    </row>
    <row r="59" spans="1:25">
      <c r="A59" s="32" t="str">
        <f t="shared" si="0"/>
        <v>大阪</v>
      </c>
      <c r="B59" s="65" t="s">
        <v>303</v>
      </c>
      <c r="C59" s="66" t="s">
        <v>1854</v>
      </c>
      <c r="D59" s="65" t="str">
        <f>VLOOKUP(O59,'111期アドレス帳'!$A$2:$F$722,6,0)</f>
        <v xml:space="preserve"> 横田 拓也(Takuya YOKOTA) &lt;takuya_yokota@ha.daifuku.co.jp&gt;</v>
      </c>
      <c r="E59" s="65" t="str">
        <f>VLOOKUP(P59,'111期アドレス帳'!$A$2:$F$722,6,0)</f>
        <v xml:space="preserve"> 橋本 こずえ(Kozue HASHIMOTO) &lt;kozue_hashimoto@ha.daifuku.co.jp&gt;</v>
      </c>
      <c r="F59" s="65"/>
      <c r="G59" s="67"/>
      <c r="H59" s="67"/>
      <c r="I59" s="5" t="b">
        <v>1</v>
      </c>
      <c r="L59" s="42" t="s">
        <v>89</v>
      </c>
      <c r="N59" s="92" t="s">
        <v>1854</v>
      </c>
      <c r="O59" s="92" t="s">
        <v>203</v>
      </c>
      <c r="P59" s="95" t="s">
        <v>198</v>
      </c>
      <c r="Q59" s="92"/>
      <c r="R59" s="92"/>
      <c r="S59" s="92"/>
      <c r="T59" s="42" t="s">
        <v>314</v>
      </c>
      <c r="U59" s="42" t="s">
        <v>200</v>
      </c>
      <c r="X59" s="7" t="str">
        <f t="shared" si="2"/>
        <v>×</v>
      </c>
      <c r="Y59" s="68"/>
    </row>
    <row r="60" spans="1:25">
      <c r="A60" s="32" t="str">
        <f>IF(B60="",A58,B60)</f>
        <v>大阪</v>
      </c>
      <c r="B60" s="65" t="s">
        <v>303</v>
      </c>
      <c r="C60" s="66" t="s">
        <v>1818</v>
      </c>
      <c r="D60" s="65" t="str">
        <f>VLOOKUP(O60,'111期アドレス帳'!$A$2:$F$722,6,0)</f>
        <v xml:space="preserve"> 土岐 典大(Norihiro TOKI) &lt;norihiro_toki@ha.daifuku.co.jp&gt;</v>
      </c>
      <c r="E60" s="65" t="str">
        <f>VLOOKUP(P60,'111期アドレス帳'!$A$2:$F$722,6,0)</f>
        <v xml:space="preserve"> 中野 千恵美(Chiemi NAKANO) &lt;chiemi_nakano@ha.daifuku.co.jp&gt;</v>
      </c>
      <c r="F60" s="65"/>
      <c r="G60" s="67"/>
      <c r="H60" s="67"/>
      <c r="I60" s="70" t="b">
        <v>1</v>
      </c>
      <c r="L60" s="42" t="s">
        <v>313</v>
      </c>
      <c r="N60" s="92" t="s">
        <v>1818</v>
      </c>
      <c r="O60" s="92" t="s">
        <v>221</v>
      </c>
      <c r="P60" s="95" t="s">
        <v>201</v>
      </c>
      <c r="Q60" s="92"/>
      <c r="R60" s="92"/>
      <c r="S60" s="92"/>
      <c r="T60" s="42" t="s">
        <v>202</v>
      </c>
      <c r="U60" s="42" t="s">
        <v>278</v>
      </c>
      <c r="V60" s="40"/>
      <c r="W60" s="7" t="str">
        <f t="shared" si="1"/>
        <v>×</v>
      </c>
      <c r="X60" s="7" t="str">
        <f t="shared" si="2"/>
        <v>×</v>
      </c>
    </row>
    <row r="61" spans="1:25">
      <c r="A61" s="32" t="str">
        <f t="shared" si="0"/>
        <v>大阪</v>
      </c>
      <c r="B61" s="65" t="s">
        <v>303</v>
      </c>
      <c r="C61" s="66" t="s">
        <v>1836</v>
      </c>
      <c r="D61" s="65" t="str">
        <f>VLOOKUP(O61,'111期アドレス帳'!$A$2:$F$722,6,0)</f>
        <v xml:space="preserve"> 石井 博基(Hiroki ISHII) &lt;hiroki_ishii@ha.daifuku.co.jp&gt;</v>
      </c>
      <c r="E61" s="65" t="str">
        <f>VLOOKUP(P61,'111期アドレス帳'!$A$2:$F$722,6,0)</f>
        <v xml:space="preserve"> 島川 直人(Naoto SHIMAKAWA) &lt;naoto_shimakawa@ha.daifuku.co.jp&gt;</v>
      </c>
      <c r="F61" s="65" t="str">
        <f>VLOOKUP(Q61,'111期アドレス帳'!$A$2:$F$722,6,0)</f>
        <v xml:space="preserve"> 藤吉 麻衣(Mai FUJIYOSHI) &lt;mai_fujiyoshi@ha.daifuku.co.jp&gt;</v>
      </c>
      <c r="G61" s="67"/>
      <c r="H61" s="67"/>
      <c r="I61" s="5" t="b">
        <v>1</v>
      </c>
      <c r="L61" s="42" t="s">
        <v>270</v>
      </c>
      <c r="N61" s="92" t="s">
        <v>1836</v>
      </c>
      <c r="O61" s="92" t="s">
        <v>217</v>
      </c>
      <c r="P61" s="95" t="s">
        <v>1121</v>
      </c>
      <c r="Q61" s="95" t="s">
        <v>1129</v>
      </c>
      <c r="R61" s="92"/>
      <c r="S61" s="92"/>
      <c r="T61" s="42" t="s">
        <v>206</v>
      </c>
      <c r="U61" s="42" t="s">
        <v>204</v>
      </c>
      <c r="W61" s="7" t="str">
        <f t="shared" si="1"/>
        <v>×</v>
      </c>
      <c r="X61" s="7" t="str">
        <f t="shared" si="2"/>
        <v>×</v>
      </c>
    </row>
    <row r="62" spans="1:25">
      <c r="A62" s="32" t="str">
        <f t="shared" si="0"/>
        <v>大阪</v>
      </c>
      <c r="B62" s="65" t="s">
        <v>303</v>
      </c>
      <c r="C62" s="66" t="s">
        <v>1855</v>
      </c>
      <c r="D62" s="65" t="str">
        <f>VLOOKUP(O62,'111期アドレス帳'!$A$2:$F$722,6,0)</f>
        <v xml:space="preserve"> 稲山 裕樹(Yuuki INEYAMA) &lt;yuuki_ineyama@ha.daifuku.co.jp&gt;</v>
      </c>
      <c r="E62" s="65" t="str">
        <f>VLOOKUP(P62,'111期アドレス帳'!$A$2:$F$722,6,0)</f>
        <v xml:space="preserve"> 春岡 風太(Futa HARUOKA) &lt;futa_haruoka@ha.daifuku.co.jp&gt;</v>
      </c>
      <c r="F62" s="65" t="str">
        <f>VLOOKUP(Q62,'111期アドレス帳'!$A$2:$F$722,6,0)</f>
        <v xml:space="preserve"> 中下 将希(Masaki NAKASHITA) &lt;masaki_nakashita@ha.daifuku.co.jp&gt;</v>
      </c>
      <c r="G62" s="65" t="str">
        <f>VLOOKUP(R62,'111期アドレス帳'!$A$2:$F$752,6,0)</f>
        <v>kazumi_miyagawa.da2@ha.daifuku.co.jp</v>
      </c>
      <c r="H62" s="67"/>
      <c r="I62" s="5" t="b">
        <v>1</v>
      </c>
      <c r="L62" s="42" t="s">
        <v>271</v>
      </c>
      <c r="N62" s="92" t="s">
        <v>1855</v>
      </c>
      <c r="O62" s="92" t="s">
        <v>160</v>
      </c>
      <c r="P62" s="95" t="s">
        <v>1136</v>
      </c>
      <c r="Q62" s="95" t="s">
        <v>1138</v>
      </c>
      <c r="R62" s="95" t="s">
        <v>2596</v>
      </c>
      <c r="S62" s="95"/>
      <c r="T62" s="42" t="s">
        <v>315</v>
      </c>
      <c r="U62" s="42" t="s">
        <v>211</v>
      </c>
      <c r="W62" s="7" t="str">
        <f t="shared" si="1"/>
        <v>×</v>
      </c>
      <c r="X62" s="7" t="str">
        <f t="shared" si="2"/>
        <v>×</v>
      </c>
    </row>
    <row r="63" spans="1:25">
      <c r="A63" s="32" t="str">
        <f t="shared" si="0"/>
        <v>大阪</v>
      </c>
      <c r="B63" s="65" t="s">
        <v>303</v>
      </c>
      <c r="C63" s="66" t="s">
        <v>1819</v>
      </c>
      <c r="D63" s="65" t="str">
        <f>VLOOKUP(O63,'111期アドレス帳'!$A$2:$F$722,6,0)</f>
        <v xml:space="preserve"> 西富 祐介(Yusuke NISHITOMI) &lt;yusuke_nishitomi@ha.daifuku.co.jp&gt;</v>
      </c>
      <c r="E63" s="65" t="str">
        <f>VLOOKUP(P63,'111期アドレス帳'!$A$2:$F$722,6,0)</f>
        <v xml:space="preserve"> 清水 寛子(Hiroko SHIMIZU) &lt;hiroko_shimizu@ha.daifuku.co.jp&gt;</v>
      </c>
      <c r="F63" s="65"/>
      <c r="G63" s="67"/>
      <c r="H63" s="67"/>
      <c r="I63" s="70" t="b">
        <v>1</v>
      </c>
      <c r="L63" s="42" t="s">
        <v>314</v>
      </c>
      <c r="N63" s="92" t="s">
        <v>1819</v>
      </c>
      <c r="O63" s="92" t="s">
        <v>200</v>
      </c>
      <c r="P63" s="95" t="s">
        <v>1134</v>
      </c>
      <c r="Q63" s="95"/>
      <c r="R63" s="92"/>
      <c r="S63" s="92"/>
      <c r="T63" s="42" t="s">
        <v>316</v>
      </c>
      <c r="U63" s="42" t="s">
        <v>210</v>
      </c>
      <c r="X63" s="7" t="str">
        <f t="shared" si="2"/>
        <v>×</v>
      </c>
    </row>
    <row r="64" spans="1:25">
      <c r="A64" s="32" t="str">
        <f>IF(B64="",A62,B64)</f>
        <v>大阪</v>
      </c>
      <c r="B64" s="65" t="s">
        <v>303</v>
      </c>
      <c r="C64" s="66" t="s">
        <v>1837</v>
      </c>
      <c r="D64" s="65" t="str">
        <f>VLOOKUP(O64,'111期アドレス帳'!$A$2:$F$722,6,0)</f>
        <v xml:space="preserve"> 岡野 淳(Atsushi OKANO) &lt;atsushi_okano@ha.daifuku.co.jp&gt;</v>
      </c>
      <c r="E64" s="65" t="str">
        <f>VLOOKUP(P64,'111期アドレス帳'!$A$2:$F$722,6,0)</f>
        <v xml:space="preserve"> 大廣 直子(Naoko OHIRO) &lt;naoko_ohiro@ha.daifuku.co.jp&gt;</v>
      </c>
      <c r="F64" s="65"/>
      <c r="G64" s="67"/>
      <c r="H64" s="67"/>
      <c r="I64" s="70" t="b">
        <v>1</v>
      </c>
      <c r="L64" s="42" t="s">
        <v>202</v>
      </c>
      <c r="N64" s="92" t="s">
        <v>1837</v>
      </c>
      <c r="O64" s="92" t="s">
        <v>278</v>
      </c>
      <c r="P64" s="95" t="s">
        <v>205</v>
      </c>
      <c r="Q64" s="92"/>
      <c r="R64" s="92"/>
      <c r="S64" s="92"/>
      <c r="T64" s="42" t="s">
        <v>90</v>
      </c>
      <c r="U64" s="42" t="s">
        <v>235</v>
      </c>
      <c r="V64" s="40"/>
      <c r="W64" s="7" t="str">
        <f t="shared" si="1"/>
        <v>×</v>
      </c>
      <c r="X64" s="7" t="str">
        <f t="shared" si="2"/>
        <v>×</v>
      </c>
    </row>
    <row r="65" spans="1:24">
      <c r="A65" s="32" t="str">
        <f t="shared" si="0"/>
        <v>大阪</v>
      </c>
      <c r="B65" s="65" t="s">
        <v>303</v>
      </c>
      <c r="C65" s="66" t="s">
        <v>1856</v>
      </c>
      <c r="D65" s="65" t="str">
        <f>VLOOKUP(O65,'111期アドレス帳'!$A$2:$F$722,6,0)</f>
        <v xml:space="preserve"> 水野 裕喜(Hiroki MIZUNO) &lt;hiroki_mizuno@ha.daifuku.co.jp&gt;</v>
      </c>
      <c r="E65" s="65" t="str">
        <f>VLOOKUP(P65,'111期アドレス帳'!$A$2:$F$722,6,0)</f>
        <v xml:space="preserve"> 今井 与志子(Yoshiko IMAI) &lt;yoshiko_imai@ha.daifuku.co.jp&gt;</v>
      </c>
      <c r="F65" s="65"/>
      <c r="G65" s="67"/>
      <c r="H65" s="67"/>
      <c r="I65" s="70" t="b">
        <v>1</v>
      </c>
      <c r="L65" s="42" t="s">
        <v>206</v>
      </c>
      <c r="N65" s="92" t="s">
        <v>1856</v>
      </c>
      <c r="O65" s="92" t="s">
        <v>204</v>
      </c>
      <c r="P65" s="95" t="s">
        <v>255</v>
      </c>
      <c r="Q65" s="92"/>
      <c r="R65" s="92"/>
      <c r="S65" s="92"/>
      <c r="T65" s="42" t="s">
        <v>91</v>
      </c>
      <c r="U65" s="42" t="s">
        <v>215</v>
      </c>
      <c r="W65" s="7" t="str">
        <f t="shared" si="1"/>
        <v>×</v>
      </c>
      <c r="X65" s="7" t="str">
        <f t="shared" si="2"/>
        <v>×</v>
      </c>
    </row>
    <row r="66" spans="1:24">
      <c r="A66" s="32" t="str">
        <f t="shared" si="0"/>
        <v>大阪</v>
      </c>
      <c r="B66" s="65" t="s">
        <v>303</v>
      </c>
      <c r="C66" s="66" t="s">
        <v>1838</v>
      </c>
      <c r="D66" s="65" t="str">
        <f>VLOOKUP(O66,'111期アドレス帳'!$A$2:$F$722,6,0)</f>
        <v xml:space="preserve"> 馬場 大輔(Daisuke BABA) &lt;daisuke_baba@ha.daifuku.co.jp&gt;</v>
      </c>
      <c r="E66" s="65" t="str">
        <f>VLOOKUP(P66,'111期アドレス帳'!$A$2:$F$722,6,0)</f>
        <v xml:space="preserve"> 古澤 弥生(Yayoi FURUSAWA) &lt;yayoi_furusawa-m1@ha.daifuku.co.jp&gt;</v>
      </c>
      <c r="F66" s="65"/>
      <c r="G66" s="67"/>
      <c r="H66" s="67"/>
      <c r="I66" s="5" t="b">
        <v>1</v>
      </c>
      <c r="L66" s="42" t="s">
        <v>315</v>
      </c>
      <c r="N66" s="92" t="s">
        <v>1838</v>
      </c>
      <c r="O66" s="92" t="s">
        <v>211</v>
      </c>
      <c r="P66" s="95" t="s">
        <v>1176</v>
      </c>
      <c r="Q66" s="92"/>
      <c r="R66" s="92"/>
      <c r="S66" s="92"/>
      <c r="T66" s="42" t="s">
        <v>284</v>
      </c>
      <c r="U66" s="42" t="s">
        <v>208</v>
      </c>
      <c r="V66" s="40"/>
      <c r="W66" s="7" t="str">
        <f>IF(N66=U66,"〇","×")</f>
        <v>×</v>
      </c>
      <c r="X66" s="7" t="str">
        <f t="shared" si="2"/>
        <v>×</v>
      </c>
    </row>
    <row r="67" spans="1:24">
      <c r="A67" s="32" t="str">
        <f t="shared" si="0"/>
        <v>大阪</v>
      </c>
      <c r="B67" s="65" t="s">
        <v>303</v>
      </c>
      <c r="C67" s="66" t="s">
        <v>1857</v>
      </c>
      <c r="D67" s="65" t="str">
        <f>VLOOKUP(O67,'111期アドレス帳'!$A$2:$F$722,6,0)</f>
        <v xml:space="preserve"> 今吉 貴亮(Takaaki IMAYOSHI) &lt;takaaki_imayoshi@ha.daifuku.co.jp&gt;</v>
      </c>
      <c r="E67" s="65" t="str">
        <f>VLOOKUP(P67,'111期アドレス帳'!$A$2:$F$722,6,0)</f>
        <v xml:space="preserve"> 増田 友也(Yuuya MASUDA) &lt;yuuya_masuda@ha.daifuku.co.jp&gt;</v>
      </c>
      <c r="F67" s="65" t="str">
        <f>VLOOKUP(Q67,'111期アドレス帳'!$A$2:$F$722,6,0)</f>
        <v xml:space="preserve"> 西村 智恵子(Chieko NISHIMURA) &lt;chieko_nishimura@ha.daifuku.co.jp&gt;</v>
      </c>
      <c r="G67" s="67"/>
      <c r="H67" s="67"/>
      <c r="I67" s="70" t="b">
        <v>1</v>
      </c>
      <c r="L67" s="42" t="s">
        <v>316</v>
      </c>
      <c r="N67" s="92" t="s">
        <v>1857</v>
      </c>
      <c r="O67" s="92" t="s">
        <v>210</v>
      </c>
      <c r="P67" s="95" t="s">
        <v>1179</v>
      </c>
      <c r="Q67" s="95" t="s">
        <v>209</v>
      </c>
      <c r="R67" s="95"/>
      <c r="S67" s="92"/>
      <c r="T67" s="42" t="s">
        <v>285</v>
      </c>
      <c r="U67" s="42" t="s">
        <v>212</v>
      </c>
      <c r="V67" s="40"/>
      <c r="W67" s="7" t="str">
        <f t="shared" si="1"/>
        <v>×</v>
      </c>
      <c r="X67" s="7" t="str">
        <f t="shared" si="2"/>
        <v>×</v>
      </c>
    </row>
    <row r="68" spans="1:24">
      <c r="A68" s="32" t="str">
        <f t="shared" si="0"/>
        <v>関西</v>
      </c>
      <c r="B68" s="79" t="s">
        <v>304</v>
      </c>
      <c r="C68" s="80" t="s">
        <v>1839</v>
      </c>
      <c r="D68" s="79" t="str">
        <f>VLOOKUP(O68,'111期アドレス帳'!$A$2:$F$722,6,0)</f>
        <v>大越 卓也(Takuya OGOSHI) &lt;takuya_ogoshi@ha.daifuku.co.jp&gt;</v>
      </c>
      <c r="E68" s="79" t="str">
        <f>VLOOKUP(P68,'111期アドレス帳'!$A$2:$F$722,6,0)</f>
        <v xml:space="preserve"> 吉川 侑吾(Yugo YOSHIKAWA) &lt;yugo_yoshikawa@ha.daifuku.co.jp&gt;</v>
      </c>
      <c r="F68" s="79" t="str">
        <f>VLOOKUP(Q68,'111期アドレス帳'!$A$2:$F$722,6,0)</f>
        <v xml:space="preserve"> 足立 優子(Yuko ADACHI) &lt;yuko_adachi@ha.daifuku.co.jp&gt;</v>
      </c>
      <c r="G68" s="81"/>
      <c r="H68" s="81"/>
      <c r="I68" s="5" t="b">
        <v>1</v>
      </c>
      <c r="L68" s="42" t="s">
        <v>90</v>
      </c>
      <c r="N68" s="92" t="s">
        <v>1839</v>
      </c>
      <c r="O68" s="92" t="s">
        <v>235</v>
      </c>
      <c r="P68" s="95" t="s">
        <v>213</v>
      </c>
      <c r="Q68" s="95" t="s">
        <v>214</v>
      </c>
      <c r="R68" s="95"/>
      <c r="S68" s="92"/>
      <c r="T68" s="42" t="s">
        <v>92</v>
      </c>
      <c r="U68" s="42" t="s">
        <v>197</v>
      </c>
      <c r="W68" s="7" t="str">
        <f t="shared" si="1"/>
        <v>×</v>
      </c>
      <c r="X68" s="7" t="str">
        <f t="shared" si="2"/>
        <v>×</v>
      </c>
    </row>
    <row r="69" spans="1:24">
      <c r="A69" s="32" t="str">
        <f t="shared" si="0"/>
        <v>関西</v>
      </c>
      <c r="B69" s="79" t="s">
        <v>304</v>
      </c>
      <c r="C69" s="80" t="s">
        <v>1858</v>
      </c>
      <c r="D69" s="79" t="str">
        <f>VLOOKUP(O69,'111期アドレス帳'!$A$2:$F$722,6,0)</f>
        <v xml:space="preserve"> 小田 龍也(Tatsuya ODA) &lt;tatsuya_oda@ha.daifuku.co.jp&gt;</v>
      </c>
      <c r="E69" s="79" t="str">
        <f>VLOOKUP(P69,'111期アドレス帳'!$A$2:$F$722,6,0)</f>
        <v xml:space="preserve"> 山﨑 朋子(Tomoko YAMASAKI) &lt;tomoko_yamasaki@ha.daifuku.co.jp&gt;</v>
      </c>
      <c r="F69" s="79"/>
      <c r="G69" s="81"/>
      <c r="H69" s="81"/>
      <c r="I69" s="70" t="b">
        <v>1</v>
      </c>
      <c r="L69" s="42" t="s">
        <v>91</v>
      </c>
      <c r="N69" s="92" t="s">
        <v>1858</v>
      </c>
      <c r="O69" s="92" t="s">
        <v>215</v>
      </c>
      <c r="P69" s="95" t="s">
        <v>1207</v>
      </c>
      <c r="Q69" s="92"/>
      <c r="R69" s="92"/>
      <c r="S69" s="92"/>
      <c r="T69" s="42" t="s">
        <v>94</v>
      </c>
      <c r="U69" s="42" t="s">
        <v>225</v>
      </c>
      <c r="V69" s="40"/>
      <c r="W69" s="7" t="str">
        <f t="shared" si="1"/>
        <v>×</v>
      </c>
      <c r="X69" s="7" t="str">
        <f t="shared" si="2"/>
        <v>×</v>
      </c>
    </row>
    <row r="70" spans="1:24">
      <c r="A70" s="32" t="str">
        <f t="shared" si="0"/>
        <v>関西</v>
      </c>
      <c r="B70" s="79" t="s">
        <v>304</v>
      </c>
      <c r="C70" s="80" t="s">
        <v>1863</v>
      </c>
      <c r="D70" s="79" t="str">
        <f>VLOOKUP(O70,'111期アドレス帳'!$A$2:$F$722,6,0)</f>
        <v xml:space="preserve"> 山村 将之(Masashi YAMAMURA) &lt;masashi_yamamura@ha.daifuku.co.jp&gt;</v>
      </c>
      <c r="E70" s="79" t="str">
        <f>VLOOKUP(P70,'111期アドレス帳'!$A$2:$F$722,6,0)</f>
        <v xml:space="preserve"> 三宅 麻以(Mai MIYAKE) &lt;mai_miyake@ha.daifuku.co.jp&gt;</v>
      </c>
      <c r="F70" s="79"/>
      <c r="G70" s="81"/>
      <c r="H70" s="81"/>
      <c r="I70" s="5" t="b">
        <v>1</v>
      </c>
      <c r="L70" s="42" t="s">
        <v>284</v>
      </c>
      <c r="N70" s="92" t="s">
        <v>1863</v>
      </c>
      <c r="O70" s="92" t="s">
        <v>208</v>
      </c>
      <c r="P70" s="95" t="s">
        <v>260</v>
      </c>
      <c r="Q70" s="92"/>
      <c r="R70" s="92"/>
      <c r="S70" s="92"/>
      <c r="T70" s="42" t="s">
        <v>93</v>
      </c>
      <c r="U70" s="42" t="s">
        <v>227</v>
      </c>
      <c r="V70" s="40"/>
      <c r="W70" s="7" t="str">
        <f t="shared" si="1"/>
        <v>×</v>
      </c>
      <c r="X70" s="7" t="str">
        <f t="shared" si="2"/>
        <v>×</v>
      </c>
    </row>
    <row r="71" spans="1:24">
      <c r="A71" s="32" t="str">
        <f t="shared" si="0"/>
        <v>関西</v>
      </c>
      <c r="B71" s="79" t="s">
        <v>304</v>
      </c>
      <c r="C71" s="80" t="s">
        <v>92</v>
      </c>
      <c r="D71" s="79" t="str">
        <f>VLOOKUP(O71,'111期アドレス帳'!$A$2:$F$722,6,0)</f>
        <v xml:space="preserve"> 木下 勇生(Yuki KINOSHITA) &lt;yuki_kinoshita@ha.daifuku.co.jp&gt;</v>
      </c>
      <c r="E71" s="79" t="str">
        <f>VLOOKUP(P71,'111期アドレス帳'!$A$2:$F$722,6,0)</f>
        <v xml:space="preserve"> 金海 澪(Rei KANEUMI) &lt;rei_kaneumi@ha.daifuku.co.jp&gt;</v>
      </c>
      <c r="F71" s="79" t="str">
        <f>VLOOKUP(Q71,'111期アドレス帳'!$A$2:$F$722,6,0)</f>
        <v xml:space="preserve"> 石原 玲子(Reiko ISHIHARA) &lt;reiko_ishihara-m1@ha.daifuku.co.jp&gt;</v>
      </c>
      <c r="G71" s="81"/>
      <c r="H71" s="81"/>
      <c r="I71" s="5" t="b">
        <v>1</v>
      </c>
      <c r="L71" s="42" t="s">
        <v>285</v>
      </c>
      <c r="N71" s="92" t="s">
        <v>92</v>
      </c>
      <c r="O71" s="92" t="s">
        <v>197</v>
      </c>
      <c r="P71" s="95" t="s">
        <v>222</v>
      </c>
      <c r="Q71" s="95" t="s">
        <v>223</v>
      </c>
      <c r="R71" s="95"/>
      <c r="S71" s="92"/>
      <c r="T71" s="42" t="s">
        <v>95</v>
      </c>
      <c r="U71" s="42" t="s">
        <v>229</v>
      </c>
      <c r="W71" s="7" t="str">
        <f t="shared" si="1"/>
        <v>×</v>
      </c>
      <c r="X71" s="7" t="str">
        <f t="shared" si="2"/>
        <v>×</v>
      </c>
    </row>
    <row r="72" spans="1:24">
      <c r="A72" s="32" t="str">
        <f t="shared" si="0"/>
        <v>関西</v>
      </c>
      <c r="B72" s="79" t="s">
        <v>304</v>
      </c>
      <c r="C72" s="80" t="s">
        <v>285</v>
      </c>
      <c r="D72" s="79" t="str">
        <f>VLOOKUP(O72,'111期アドレス帳'!$A$2:$F$722,6,0)</f>
        <v xml:space="preserve"> 森本 和希(Kazuki MORIMOTO) &lt;kazuki_morimoto-m1@ha.daifuku.co.jp&gt;</v>
      </c>
      <c r="E72" s="79" t="str">
        <f>VLOOKUP(P72,'111期アドレス帳'!$A$2:$F$722,6,0)</f>
        <v xml:space="preserve"> 松井 やよい(Yayoi MATSUI) &lt;yayoi_matsui@ha.daifuku.co.jp&gt;</v>
      </c>
      <c r="F72" s="79"/>
      <c r="G72" s="81"/>
      <c r="H72" s="81"/>
      <c r="I72" s="5" t="b">
        <v>1</v>
      </c>
      <c r="K72" s="98" t="s">
        <v>2065</v>
      </c>
      <c r="L72" s="42" t="s">
        <v>92</v>
      </c>
      <c r="M72" s="7" t="s">
        <v>2066</v>
      </c>
      <c r="N72" s="92" t="s">
        <v>285</v>
      </c>
      <c r="O72" s="92" t="s">
        <v>219</v>
      </c>
      <c r="P72" s="95" t="s">
        <v>220</v>
      </c>
      <c r="Q72" s="92"/>
      <c r="R72" s="92"/>
      <c r="S72" s="92"/>
      <c r="T72" s="42" t="s">
        <v>272</v>
      </c>
      <c r="U72" s="42" t="s">
        <v>229</v>
      </c>
      <c r="W72" s="7" t="str">
        <f t="shared" si="1"/>
        <v>×</v>
      </c>
      <c r="X72" s="7" t="str">
        <f t="shared" si="2"/>
        <v>×</v>
      </c>
    </row>
    <row r="73" spans="1:24">
      <c r="A73" s="32" t="str">
        <f t="shared" si="0"/>
        <v>関西</v>
      </c>
      <c r="B73" s="79" t="s">
        <v>304</v>
      </c>
      <c r="C73" s="80" t="s">
        <v>93</v>
      </c>
      <c r="D73" s="79" t="str">
        <f>VLOOKUP(O73,'111期アドレス帳'!$A$2:$F$722,6,0)</f>
        <v xml:space="preserve"> 広瀬 敦憲(Atsunori HIROSE) &lt;atsunori_hirose@ha.daifuku.co.jp&gt;</v>
      </c>
      <c r="E73" s="79" t="str">
        <f>VLOOKUP(P73,'111期アドレス帳'!$A$2:$F$722,6,0)</f>
        <v xml:space="preserve"> 頼実 梨奈(Rina YORIZANE) &lt;rina_yorizane@ha.daifuku.co.jp&gt;</v>
      </c>
      <c r="F73" s="79"/>
      <c r="G73" s="81"/>
      <c r="H73" s="81"/>
      <c r="I73" s="5" t="b">
        <v>1</v>
      </c>
      <c r="K73" s="98" t="s">
        <v>2061</v>
      </c>
      <c r="L73" s="42" t="s">
        <v>94</v>
      </c>
      <c r="M73" s="7" t="s">
        <v>2067</v>
      </c>
      <c r="N73" s="92" t="s">
        <v>93</v>
      </c>
      <c r="O73" s="92" t="s">
        <v>227</v>
      </c>
      <c r="P73" s="95" t="s">
        <v>1231</v>
      </c>
      <c r="Q73" s="92"/>
      <c r="R73" s="92"/>
      <c r="S73" s="92"/>
      <c r="T73" s="42" t="s">
        <v>96</v>
      </c>
      <c r="U73" s="42" t="s">
        <v>231</v>
      </c>
      <c r="W73" s="7" t="str">
        <f t="shared" si="1"/>
        <v>×</v>
      </c>
      <c r="X73" s="7" t="str">
        <f t="shared" si="2"/>
        <v>×</v>
      </c>
    </row>
    <row r="74" spans="1:24">
      <c r="A74" s="32" t="str">
        <f t="shared" ref="A74:A89" si="5">IF(B74="",A73,B74)</f>
        <v>関西</v>
      </c>
      <c r="B74" s="79" t="s">
        <v>304</v>
      </c>
      <c r="C74" s="80" t="s">
        <v>95</v>
      </c>
      <c r="D74" s="79" t="str">
        <f>VLOOKUP(O74,'111期アドレス帳'!$A$2:$F$722,6,0)</f>
        <v xml:space="preserve"> 溝畑 宏隆(Hirotaka MIZOBATA) &lt;hirotaka_mizobata@ha.daifuku.co.jp&gt;</v>
      </c>
      <c r="E74" s="79" t="str">
        <f>VLOOKUP(P74,'111期アドレス帳'!$A$2:$F$722,6,0)</f>
        <v xml:space="preserve"> 三谷 和彦(Kazuhiko MITANI) &lt;kazuhiko_mitani@ha.daifuku.co.jp&gt;</v>
      </c>
      <c r="F74" s="79" t="str">
        <f>VLOOKUP(Q74,'111期アドレス帳'!$A$2:$F$722,6,0)</f>
        <v xml:space="preserve"> 河邉 さおり(Saori KAWANABE) &lt;saori_kawanabe@ha.daifuku.co.jp&gt;</v>
      </c>
      <c r="G74" s="81"/>
      <c r="H74" s="81"/>
      <c r="I74" s="70" t="b">
        <v>1</v>
      </c>
      <c r="L74" s="42" t="s">
        <v>94</v>
      </c>
      <c r="N74" s="92" t="s">
        <v>95</v>
      </c>
      <c r="O74" s="92" t="s">
        <v>216</v>
      </c>
      <c r="P74" s="95" t="s">
        <v>230</v>
      </c>
      <c r="Q74" s="95" t="s">
        <v>232</v>
      </c>
      <c r="R74" s="92"/>
      <c r="S74" s="92"/>
      <c r="T74" s="42" t="s">
        <v>97</v>
      </c>
      <c r="U74" s="42" t="s">
        <v>218</v>
      </c>
      <c r="V74" s="40"/>
      <c r="W74" s="7" t="str">
        <f t="shared" ref="W74:X83" si="6">IF(N74=U74,"〇","×")</f>
        <v>×</v>
      </c>
      <c r="X74" s="7" t="str">
        <f t="shared" si="6"/>
        <v>×</v>
      </c>
    </row>
    <row r="75" spans="1:24">
      <c r="A75" s="32" t="str">
        <f t="shared" si="5"/>
        <v>関西</v>
      </c>
      <c r="B75" s="79" t="s">
        <v>304</v>
      </c>
      <c r="C75" s="80" t="s">
        <v>272</v>
      </c>
      <c r="D75" s="79" t="str">
        <f>VLOOKUP(O75,'111期アドレス帳'!$A$2:$F$722,6,0)</f>
        <v xml:space="preserve"> 溝畑 宏隆(Hirotaka MIZOBATA) &lt;hirotaka_mizobata@ha.daifuku.co.jp&gt;</v>
      </c>
      <c r="E75" s="79" t="str">
        <f>VLOOKUP(P75,'111期アドレス帳'!$A$2:$F$722,6,0)</f>
        <v xml:space="preserve"> 鶴身 征也(Seiya TSURUMI) &lt;seiya_tsurumi@ha.daifuku.co.jp&gt;</v>
      </c>
      <c r="F75" s="79" t="str">
        <f>VLOOKUP(Q75,'111期アドレス帳'!$A$2:$F$722,6,0)</f>
        <v xml:space="preserve"> 平岡 美仁子(Miniko HIRAOKA) &lt;miniko_hiraoka@ha.daifuku.co.jp&gt;</v>
      </c>
      <c r="G75" s="81"/>
      <c r="H75" s="81"/>
      <c r="I75" s="70" t="b">
        <v>1</v>
      </c>
      <c r="L75" s="42" t="s">
        <v>93</v>
      </c>
      <c r="N75" s="92" t="s">
        <v>272</v>
      </c>
      <c r="O75" s="92" t="s">
        <v>216</v>
      </c>
      <c r="P75" s="95" t="s">
        <v>256</v>
      </c>
      <c r="Q75" s="95" t="s">
        <v>1240</v>
      </c>
      <c r="R75" s="95"/>
      <c r="S75" s="92"/>
      <c r="T75" s="42" t="s">
        <v>98</v>
      </c>
      <c r="U75" s="42" t="s">
        <v>233</v>
      </c>
      <c r="W75" s="7" t="str">
        <f t="shared" si="6"/>
        <v>×</v>
      </c>
      <c r="X75" s="7" t="str">
        <f t="shared" si="6"/>
        <v>×</v>
      </c>
    </row>
    <row r="76" spans="1:24">
      <c r="A76" s="32" t="str">
        <f t="shared" si="5"/>
        <v>関西</v>
      </c>
      <c r="B76" s="79" t="s">
        <v>304</v>
      </c>
      <c r="C76" s="80" t="s">
        <v>1840</v>
      </c>
      <c r="D76" s="79" t="str">
        <f>VLOOKUP(O76,'111期アドレス帳'!$A$2:$F$722,6,0)</f>
        <v xml:space="preserve"> 藤澤 良則(Yoshinori FUJISAWA) &lt;yoshinori_fujisawa@ha.daifuku.co.jp&gt;</v>
      </c>
      <c r="E76" s="79" t="str">
        <f>VLOOKUP(P76,'111期アドレス帳'!$A$2:$F$722,6,0)</f>
        <v xml:space="preserve"> 藤井 好美(Yoshimi FUJII) &lt;yoshimi_fujii@ha.daifuku.co.jp&gt;</v>
      </c>
      <c r="F76" s="79"/>
      <c r="G76" s="81"/>
      <c r="H76" s="81"/>
      <c r="I76" s="5" t="b">
        <v>1</v>
      </c>
      <c r="L76" s="42" t="s">
        <v>95</v>
      </c>
      <c r="N76" s="92" t="s">
        <v>1840</v>
      </c>
      <c r="O76" s="92" t="s">
        <v>225</v>
      </c>
      <c r="P76" s="95" t="s">
        <v>228</v>
      </c>
      <c r="Q76" s="92"/>
      <c r="R76" s="92"/>
      <c r="S76" s="92"/>
      <c r="T76" s="42" t="s">
        <v>99</v>
      </c>
      <c r="U76" s="42" t="s">
        <v>218</v>
      </c>
      <c r="V76" s="40"/>
      <c r="W76" s="7" t="str">
        <f t="shared" si="6"/>
        <v>×</v>
      </c>
      <c r="X76" s="7" t="str">
        <f t="shared" si="6"/>
        <v>×</v>
      </c>
    </row>
    <row r="77" spans="1:24">
      <c r="A77" s="32" t="str">
        <f t="shared" si="5"/>
        <v>関西</v>
      </c>
      <c r="B77" s="79" t="s">
        <v>304</v>
      </c>
      <c r="C77" s="80" t="s">
        <v>1859</v>
      </c>
      <c r="D77" s="79" t="str">
        <f>VLOOKUP(O77,'111期アドレス帳'!$A$2:$F$722,6,0)</f>
        <v xml:space="preserve"> 田代 真也(Shinya TASHIRO) &lt;shinya_tashiro@ha.daifuku.co.jp&gt;</v>
      </c>
      <c r="E77" s="79" t="str">
        <f>VLOOKUP(P77,'111期アドレス帳'!$A$2:$F$722,6,0)</f>
        <v xml:space="preserve"> 守屋 千恵(Chie MORIYA) &lt;chie_moriya@ha.daifuku.co.jp&gt;</v>
      </c>
      <c r="F77" s="79"/>
      <c r="G77" s="81"/>
      <c r="H77" s="81"/>
      <c r="I77" s="5" t="b">
        <v>1</v>
      </c>
      <c r="J77" s="5"/>
      <c r="L77" s="42" t="s">
        <v>272</v>
      </c>
      <c r="N77" s="92" t="s">
        <v>1859</v>
      </c>
      <c r="O77" s="92" t="s">
        <v>231</v>
      </c>
      <c r="P77" s="95" t="s">
        <v>1253</v>
      </c>
      <c r="Q77" s="92"/>
      <c r="R77" s="92"/>
      <c r="S77" s="92"/>
      <c r="T77" s="42" t="s">
        <v>100</v>
      </c>
      <c r="U77" s="42" t="s">
        <v>163</v>
      </c>
      <c r="V77" s="40"/>
      <c r="W77" s="7" t="str">
        <f t="shared" si="6"/>
        <v>×</v>
      </c>
      <c r="X77" s="7" t="str">
        <f t="shared" si="6"/>
        <v>×</v>
      </c>
    </row>
    <row r="78" spans="1:24">
      <c r="A78" s="32" t="str">
        <f t="shared" si="5"/>
        <v>関西</v>
      </c>
      <c r="B78" s="79" t="s">
        <v>304</v>
      </c>
      <c r="C78" s="80" t="s">
        <v>96</v>
      </c>
      <c r="D78" s="79" t="str">
        <f>VLOOKUP(O78,'111期アドレス帳'!$A$2:$F$722,6,0)</f>
        <v xml:space="preserve"> 新谷 英也(Hideya SHINTANI) &lt;hideya_shintani@ha.daifuku.co.jp&gt;</v>
      </c>
      <c r="E78" s="79" t="str">
        <f>VLOOKUP(P78,'111期アドレス帳'!$A$2:$F$722,6,0)</f>
        <v xml:space="preserve"> 菅野 紋子(Ayako KANNO) &lt;ayako_kanno@ha.daifuku.co.jp&gt;</v>
      </c>
      <c r="F78" s="79"/>
      <c r="G78" s="81"/>
      <c r="H78" s="81"/>
      <c r="I78" s="5" t="b">
        <v>1</v>
      </c>
      <c r="J78" s="5"/>
      <c r="K78" s="5"/>
      <c r="L78" s="42" t="s">
        <v>96</v>
      </c>
      <c r="M78" s="5"/>
      <c r="N78" s="92" t="s">
        <v>96</v>
      </c>
      <c r="O78" s="92" t="s">
        <v>1255</v>
      </c>
      <c r="P78" s="95" t="s">
        <v>234</v>
      </c>
      <c r="Q78" s="92"/>
      <c r="R78" s="92"/>
      <c r="S78" s="92"/>
      <c r="T78" s="42" t="s">
        <v>286</v>
      </c>
      <c r="U78" s="42" t="s">
        <v>241</v>
      </c>
      <c r="W78" s="7" t="str">
        <f t="shared" si="6"/>
        <v>×</v>
      </c>
      <c r="X78" s="7" t="str">
        <f t="shared" si="6"/>
        <v>×</v>
      </c>
    </row>
    <row r="79" spans="1:24">
      <c r="A79" s="32" t="str">
        <f>IF(B79="",A80,B79)</f>
        <v>西部</v>
      </c>
      <c r="B79" s="82" t="s">
        <v>305</v>
      </c>
      <c r="C79" s="83" t="s">
        <v>97</v>
      </c>
      <c r="D79" s="82" t="str">
        <f>VLOOKUP(O79,'111期アドレス帳'!$A$2:$F$722,6,0)</f>
        <v xml:space="preserve"> 細田 和裕(Kazuhiro HOSODA) &lt;kazuhiro_hosoda@ha.daifuku.co.jp&gt;</v>
      </c>
      <c r="E79" s="82" t="str">
        <f>VLOOKUP(P79,'111期アドレス帳'!$A$2:$F$722,6,0)</f>
        <v xml:space="preserve"> 羽渕 和志(Kazusi HABUTI) &lt;kazusi_habuti@ha.daifuku.co.jp&gt;</v>
      </c>
      <c r="F79" s="82" t="str">
        <f>VLOOKUP(Q79,'111期アドレス帳'!$A$2:$F$722,6,0)</f>
        <v xml:space="preserve"> 田中 法恵(Norie TANAKA) &lt;norie_tanaka@ha.daifuku.co.jp&gt;</v>
      </c>
      <c r="G79" s="84"/>
      <c r="H79" s="84"/>
      <c r="I79" s="5" t="b">
        <v>1</v>
      </c>
      <c r="J79" s="5"/>
      <c r="K79" s="5"/>
      <c r="L79" s="42" t="s">
        <v>97</v>
      </c>
      <c r="M79" s="5"/>
      <c r="N79" s="92" t="s">
        <v>97</v>
      </c>
      <c r="O79" s="92" t="s">
        <v>233</v>
      </c>
      <c r="P79" s="95" t="s">
        <v>237</v>
      </c>
      <c r="Q79" s="95" t="s">
        <v>238</v>
      </c>
      <c r="R79" s="95"/>
      <c r="S79" s="92"/>
      <c r="T79" s="42" t="s">
        <v>101</v>
      </c>
      <c r="U79" s="42" t="s">
        <v>246</v>
      </c>
      <c r="V79" s="40"/>
      <c r="W79" s="7" t="str">
        <f>IF(N79=U79,"〇","×")</f>
        <v>×</v>
      </c>
      <c r="X79" s="7" t="str">
        <f>IF(O79=V79,"〇","×")</f>
        <v>×</v>
      </c>
    </row>
    <row r="80" spans="1:24">
      <c r="A80" s="32" t="str">
        <f>IF(B80="",A78,B80)</f>
        <v>西部</v>
      </c>
      <c r="B80" s="82" t="s">
        <v>305</v>
      </c>
      <c r="C80" s="83" t="s">
        <v>98</v>
      </c>
      <c r="D80" s="82" t="str">
        <f>VLOOKUP(O80,'111期アドレス帳'!$A$2:$F$722,6,0)</f>
        <v xml:space="preserve"> 河南 基貴(Motoki KANNAN) &lt;motoki_kannan@ha.daifuku.co.jp&gt;</v>
      </c>
      <c r="E80" s="82" t="str">
        <f>VLOOKUP(P80,'111期アドレス帳'!$A$2:$F$722,6,0)</f>
        <v xml:space="preserve"> 高原 千恵(Chie TAKAGAKI) &lt;chie_takagaki@ha.daifuku.co.jp&gt;</v>
      </c>
      <c r="F80" s="82"/>
      <c r="G80" s="84"/>
      <c r="H80" s="84"/>
      <c r="I80" s="70" t="b">
        <v>1</v>
      </c>
      <c r="J80" s="5"/>
      <c r="K80" s="5"/>
      <c r="L80" s="42" t="s">
        <v>98</v>
      </c>
      <c r="M80" s="5"/>
      <c r="N80" s="92" t="s">
        <v>98</v>
      </c>
      <c r="O80" s="92" t="s">
        <v>196</v>
      </c>
      <c r="P80" s="95" t="s">
        <v>239</v>
      </c>
      <c r="Q80" s="92"/>
      <c r="R80" s="92"/>
      <c r="S80" s="92"/>
      <c r="T80" s="42" t="s">
        <v>287</v>
      </c>
      <c r="U80" s="7" t="s">
        <v>244</v>
      </c>
      <c r="W80" s="7" t="str">
        <f>IF(N80=U80,"〇","×")</f>
        <v>×</v>
      </c>
      <c r="X80" s="7" t="str">
        <f>IF(O80=V80,"〇","×")</f>
        <v>×</v>
      </c>
    </row>
    <row r="81" spans="1:24">
      <c r="A81" s="32" t="str">
        <f>IF(B81="",A79,B81)</f>
        <v>西部</v>
      </c>
      <c r="B81" s="82" t="s">
        <v>305</v>
      </c>
      <c r="C81" s="83" t="s">
        <v>99</v>
      </c>
      <c r="D81" s="82" t="str">
        <f>VLOOKUP(O81,'111期アドレス帳'!$A$2:$F$722,6,0)</f>
        <v xml:space="preserve"> 向畑 拓郎(Takurou MUKAIHATA) &lt;takurou_mukaihata@ha.daifuku.co.jp&gt;</v>
      </c>
      <c r="E81" s="82" t="str">
        <f>VLOOKUP(P81,'111期アドレス帳'!$A$2:$F$722,6,0)</f>
        <v xml:space="preserve"> 新宮 ひとみ(Hitomi SHINGUU) &lt;hitomi_shinguu@ha.daifuku.co.jp&gt;</v>
      </c>
      <c r="F81" s="82"/>
      <c r="G81" s="84"/>
      <c r="H81" s="84"/>
      <c r="I81" s="5" t="b">
        <v>1</v>
      </c>
      <c r="J81" s="5"/>
      <c r="K81" s="5"/>
      <c r="L81" s="42" t="s">
        <v>99</v>
      </c>
      <c r="M81" s="5"/>
      <c r="N81" s="92" t="s">
        <v>99</v>
      </c>
      <c r="O81" s="92" t="s">
        <v>236</v>
      </c>
      <c r="P81" s="95" t="s">
        <v>240</v>
      </c>
      <c r="Q81" s="92"/>
      <c r="R81" s="92"/>
      <c r="S81" s="92"/>
      <c r="T81" s="42" t="s">
        <v>102</v>
      </c>
      <c r="U81" s="42" t="s">
        <v>199</v>
      </c>
      <c r="V81" s="40"/>
      <c r="W81" s="7" t="str">
        <f t="shared" si="6"/>
        <v>×</v>
      </c>
      <c r="X81" s="7" t="str">
        <f t="shared" si="6"/>
        <v>×</v>
      </c>
    </row>
    <row r="82" spans="1:24">
      <c r="A82" s="32" t="str">
        <f t="shared" si="5"/>
        <v>西部</v>
      </c>
      <c r="B82" s="82" t="s">
        <v>305</v>
      </c>
      <c r="C82" s="83" t="s">
        <v>100</v>
      </c>
      <c r="D82" s="82" t="str">
        <f>VLOOKUP(O82,'111期アドレス帳'!$A$2:$F$722,6,0)</f>
        <v xml:space="preserve"> 稲葉 隼人(Hayato INABA) &lt;hayato_inaba@ha.daifuku.co.jp&gt;</v>
      </c>
      <c r="E82" s="82" t="str">
        <f>VLOOKUP(P82,'111期アドレス帳'!$A$2:$F$722,6,0)</f>
        <v xml:space="preserve"> 田中 由香里(Yukari TANAKA) &lt;yukari_tanaka@ha.daifuku.co.jp&gt;</v>
      </c>
      <c r="F82" s="82"/>
      <c r="G82" s="84"/>
      <c r="H82" s="84"/>
      <c r="I82" s="5" t="b">
        <v>1</v>
      </c>
      <c r="J82" s="5"/>
      <c r="K82" s="98" t="s">
        <v>2065</v>
      </c>
      <c r="L82" s="42" t="s">
        <v>100</v>
      </c>
      <c r="M82" s="7" t="s">
        <v>2068</v>
      </c>
      <c r="N82" s="92" t="s">
        <v>100</v>
      </c>
      <c r="O82" s="92" t="s">
        <v>163</v>
      </c>
      <c r="P82" s="95" t="s">
        <v>243</v>
      </c>
      <c r="Q82" s="92"/>
      <c r="R82" s="92"/>
      <c r="S82" s="92"/>
      <c r="T82" s="42" t="s">
        <v>103</v>
      </c>
      <c r="U82" s="42" t="s">
        <v>196</v>
      </c>
      <c r="V82" s="40"/>
      <c r="W82" s="7" t="str">
        <f t="shared" si="6"/>
        <v>×</v>
      </c>
      <c r="X82" s="7" t="str">
        <f t="shared" si="6"/>
        <v>×</v>
      </c>
    </row>
    <row r="83" spans="1:24">
      <c r="A83" s="32" t="str">
        <f t="shared" si="5"/>
        <v>西部</v>
      </c>
      <c r="B83" s="82" t="s">
        <v>305</v>
      </c>
      <c r="C83" s="83" t="s">
        <v>1841</v>
      </c>
      <c r="D83" s="82" t="str">
        <f>VLOOKUP(O83,'111期アドレス帳'!$A$2:$F$722,6,0)</f>
        <v xml:space="preserve"> 小屋迫 勝彦(Katsuhiko KOYASAKO) &lt;katsuhiko_koyasako@ha.daifuku.co.jp&gt;</v>
      </c>
      <c r="E83" s="82" t="str">
        <f>VLOOKUP(P83,'111期アドレス帳'!$A$2:$F$722,6,0)</f>
        <v xml:space="preserve"> 清水 富美子(Tomiko SIMIZU) &lt;tomiko_simizu@ha.daifuku.co.jp&gt;</v>
      </c>
      <c r="F83" s="82"/>
      <c r="G83" s="84"/>
      <c r="H83" s="84"/>
      <c r="I83" s="5" t="b">
        <v>1</v>
      </c>
      <c r="J83" s="5"/>
      <c r="K83" s="98" t="s">
        <v>2061</v>
      </c>
      <c r="L83" s="42" t="s">
        <v>286</v>
      </c>
      <c r="M83" s="7" t="s">
        <v>2069</v>
      </c>
      <c r="N83" s="92" t="s">
        <v>1841</v>
      </c>
      <c r="O83" s="92" t="s">
        <v>241</v>
      </c>
      <c r="P83" s="95" t="s">
        <v>245</v>
      </c>
      <c r="Q83" s="92"/>
      <c r="R83" s="92"/>
      <c r="S83" s="92"/>
      <c r="T83" s="42" t="s">
        <v>104</v>
      </c>
      <c r="U83" s="42" t="s">
        <v>196</v>
      </c>
      <c r="V83" s="40"/>
      <c r="W83" s="7" t="str">
        <f t="shared" si="6"/>
        <v>×</v>
      </c>
      <c r="X83" s="7" t="str">
        <f t="shared" si="6"/>
        <v>×</v>
      </c>
    </row>
    <row r="84" spans="1:24">
      <c r="A84" s="32" t="str">
        <f t="shared" si="5"/>
        <v>西部</v>
      </c>
      <c r="B84" s="82" t="s">
        <v>305</v>
      </c>
      <c r="C84" s="83" t="s">
        <v>1860</v>
      </c>
      <c r="D84" s="82" t="str">
        <f>VLOOKUP(O84,'111期アドレス帳'!$A$2:$F$722,6,0)</f>
        <v xml:space="preserve"> 末安 輝士(Teruhito SUEYASU) &lt;teruhito_sueyasu@ha.daifuku.co.jp&gt;</v>
      </c>
      <c r="E84" s="82" t="str">
        <f>VLOOKUP(P84,'111期アドレス帳'!$A$2:$F$722,6,0)</f>
        <v xml:space="preserve"> 清水 富美子(Tomiko SIMIZU) &lt;tomiko_simizu@ha.daifuku.co.jp&gt;</v>
      </c>
      <c r="F84" s="82"/>
      <c r="G84" s="83"/>
      <c r="H84" s="83"/>
      <c r="I84" s="5" t="b">
        <v>1</v>
      </c>
      <c r="K84" s="5"/>
      <c r="L84" s="42" t="s">
        <v>286</v>
      </c>
      <c r="M84" s="5"/>
      <c r="N84" s="92" t="s">
        <v>1860</v>
      </c>
      <c r="O84" s="92" t="s">
        <v>1304</v>
      </c>
      <c r="P84" s="95" t="s">
        <v>245</v>
      </c>
      <c r="Q84" s="92"/>
      <c r="R84" s="92"/>
      <c r="S84" s="92"/>
      <c r="T84" s="15"/>
    </row>
    <row r="85" spans="1:24">
      <c r="A85" s="32" t="str">
        <f t="shared" si="5"/>
        <v>西部</v>
      </c>
      <c r="B85" s="82" t="s">
        <v>305</v>
      </c>
      <c r="C85" s="83" t="s">
        <v>101</v>
      </c>
      <c r="D85" s="82" t="str">
        <f>VLOOKUP(O85,'111期アドレス帳'!$A$2:$F$722,6,0)</f>
        <v xml:space="preserve"> 小嶋 翔(Syou KOJIMA) &lt;syou_kojima@ha.daifuku.co.jp&gt;</v>
      </c>
      <c r="E85" s="82" t="str">
        <f>VLOOKUP(P85,'111期アドレス帳'!$A$2:$F$722,6,0)</f>
        <v xml:space="preserve"> 住山 岳彬(Takeaki SUMIYAMA) &lt;takeaki_sumiyama@ha.daifuku.co.jp&gt;</v>
      </c>
      <c r="F85" s="82" t="str">
        <f>VLOOKUP(Q85,'111期アドレス帳'!$A$2:$F$722,6,0)</f>
        <v xml:space="preserve"> 福原 優子(Yuko FUKUHARA) &lt;yuko_fukuhara@ha.daifuku.co.jp&gt;</v>
      </c>
      <c r="G85" s="83"/>
      <c r="H85" s="83"/>
      <c r="I85" s="5" t="b">
        <v>1</v>
      </c>
      <c r="L85" s="42" t="s">
        <v>101</v>
      </c>
      <c r="N85" s="97" t="s">
        <v>101</v>
      </c>
      <c r="O85" s="92" t="s">
        <v>246</v>
      </c>
      <c r="P85" s="95" t="s">
        <v>1311</v>
      </c>
      <c r="Q85" s="95" t="s">
        <v>261</v>
      </c>
      <c r="R85" s="92"/>
      <c r="S85" s="92"/>
      <c r="V85" s="40" t="s">
        <v>291</v>
      </c>
    </row>
    <row r="86" spans="1:24">
      <c r="A86" s="32" t="str">
        <f t="shared" si="5"/>
        <v>西部</v>
      </c>
      <c r="B86" s="82" t="s">
        <v>305</v>
      </c>
      <c r="C86" s="83" t="s">
        <v>287</v>
      </c>
      <c r="D86" s="82" t="str">
        <f>VLOOKUP(O86,'111期アドレス帳'!$A$2:$F$722,6,0)</f>
        <v xml:space="preserve"> 吉田 憲博(Norihiro YOSHIDA) &lt;norihiro_yoshida@ha.daifuku.co.jp&gt;</v>
      </c>
      <c r="E86" s="82" t="str">
        <f>VLOOKUP(P86,'111期アドレス帳'!$A$2:$F$722,6,0)</f>
        <v xml:space="preserve"> 青木 奈津子(Natsuko AOKI) &lt;natsuko_aoki@ha.daifuku.co.jp&gt;</v>
      </c>
      <c r="F86" s="82"/>
      <c r="G86" s="83"/>
      <c r="H86" s="83"/>
      <c r="I86" s="5" t="b">
        <v>1</v>
      </c>
      <c r="L86" s="42" t="s">
        <v>287</v>
      </c>
      <c r="N86" s="97" t="s">
        <v>287</v>
      </c>
      <c r="O86" s="92" t="s">
        <v>244</v>
      </c>
      <c r="P86" s="95" t="s">
        <v>1323</v>
      </c>
      <c r="Q86" s="92"/>
      <c r="R86" s="92"/>
      <c r="S86" s="92"/>
    </row>
    <row r="87" spans="1:24">
      <c r="A87" s="32" t="str">
        <f t="shared" si="5"/>
        <v>西部</v>
      </c>
      <c r="B87" s="82" t="s">
        <v>305</v>
      </c>
      <c r="C87" s="83" t="s">
        <v>102</v>
      </c>
      <c r="D87" s="82" t="str">
        <f>VLOOKUP(O87,'111期アドレス帳'!$A$2:$F$722,6,0)</f>
        <v xml:space="preserve"> 谷口 啓介(Keisuke TANIGUCHI) &lt;keisuke_taniguchi@ha.daifuku.co.jp&gt;</v>
      </c>
      <c r="E87" s="82" t="str">
        <f>VLOOKUP(P87,'111期アドレス帳'!$A$2:$F$722,6,0)</f>
        <v xml:space="preserve"> 小野 幸子(Sachiko ONO) &lt;sachiko_ono@ha.daifuku.co.jp&gt;</v>
      </c>
      <c r="F87" s="82"/>
      <c r="G87" s="83"/>
      <c r="H87" s="83"/>
      <c r="I87" s="5" t="b">
        <v>1</v>
      </c>
      <c r="L87" s="42" t="s">
        <v>102</v>
      </c>
      <c r="N87" s="97" t="s">
        <v>102</v>
      </c>
      <c r="O87" s="92" t="s">
        <v>199</v>
      </c>
      <c r="P87" s="95" t="s">
        <v>247</v>
      </c>
      <c r="Q87" s="92"/>
      <c r="R87" s="92"/>
      <c r="S87" s="92"/>
    </row>
    <row r="88" spans="1:24">
      <c r="A88" s="32" t="str">
        <f t="shared" si="5"/>
        <v>西部</v>
      </c>
      <c r="B88" s="82" t="s">
        <v>305</v>
      </c>
      <c r="C88" s="83" t="s">
        <v>103</v>
      </c>
      <c r="D88" s="82" t="str">
        <f>VLOOKUP(O88,'111期アドレス帳'!$A$2:$F$722,6,0)</f>
        <v xml:space="preserve"> 縄田 菖樹(Syouki NAWATA) &lt;syouki_nawata@ha.daifuku.co.jp&gt;</v>
      </c>
      <c r="E88" s="82" t="str">
        <f>VLOOKUP(P88,'111期アドレス帳'!$A$2:$F$722,6,0)</f>
        <v xml:space="preserve"> 種田 杏子(Kyoko TANEDA) &lt;kyoko_taneda@ha.daifuku.co.jp&gt;</v>
      </c>
      <c r="F88" s="82"/>
      <c r="G88" s="83"/>
      <c r="H88" s="83"/>
      <c r="I88" s="5" t="b">
        <v>1</v>
      </c>
      <c r="L88" s="42" t="s">
        <v>103</v>
      </c>
      <c r="N88" s="92" t="s">
        <v>103</v>
      </c>
      <c r="O88" s="92" t="s">
        <v>242</v>
      </c>
      <c r="P88" s="95" t="s">
        <v>1332</v>
      </c>
      <c r="Q88" s="92"/>
      <c r="R88" s="92"/>
      <c r="S88" s="92"/>
    </row>
    <row r="89" spans="1:24">
      <c r="A89" s="32" t="str">
        <f t="shared" si="5"/>
        <v>西部</v>
      </c>
      <c r="B89" s="82" t="s">
        <v>305</v>
      </c>
      <c r="C89" s="83" t="s">
        <v>104</v>
      </c>
      <c r="D89" s="82" t="str">
        <f>VLOOKUP(O89,'111期アドレス帳'!$A$2:$F$722,6,0)</f>
        <v xml:space="preserve"> 縄田 菖樹(Syouki NAWATA) &lt;syouki_nawata@ha.daifuku.co.jp&gt;</v>
      </c>
      <c r="E89" s="82" t="str">
        <f>VLOOKUP(P89,'111期アドレス帳'!$A$2:$F$722,6,0)</f>
        <v xml:space="preserve"> 種田 杏子(Kyoko TANEDA) &lt;kyoko_taneda@ha.daifuku.co.jp&gt;</v>
      </c>
      <c r="F89" s="82"/>
      <c r="G89" s="83"/>
      <c r="H89" s="83"/>
      <c r="I89" s="5" t="b">
        <v>1</v>
      </c>
      <c r="L89" s="42" t="s">
        <v>104</v>
      </c>
      <c r="N89" s="42" t="s">
        <v>104</v>
      </c>
      <c r="O89" s="92" t="s">
        <v>242</v>
      </c>
      <c r="P89" s="95" t="s">
        <v>1332</v>
      </c>
      <c r="Q89" s="92"/>
      <c r="R89" s="92"/>
      <c r="S89" s="92"/>
    </row>
    <row r="90" spans="1:24">
      <c r="B90" s="93" t="s">
        <v>2594</v>
      </c>
      <c r="I90" s="5"/>
      <c r="N90" s="93" t="s">
        <v>2594</v>
      </c>
      <c r="V90" s="40"/>
    </row>
    <row r="91" spans="1:24">
      <c r="N91" s="74"/>
      <c r="O91" s="15" t="s">
        <v>2602</v>
      </c>
      <c r="P91" s="15" t="s">
        <v>2603</v>
      </c>
      <c r="Q91" s="86" t="s">
        <v>2605</v>
      </c>
      <c r="S91" s="5"/>
      <c r="T91" s="86" t="s">
        <v>2604</v>
      </c>
    </row>
    <row r="92" spans="1:24">
      <c r="N92" s="75"/>
      <c r="O92" s="15" t="s">
        <v>2606</v>
      </c>
      <c r="P92" s="15" t="s">
        <v>2606</v>
      </c>
    </row>
    <row r="95" spans="1:24">
      <c r="N95" s="74">
        <v>45926</v>
      </c>
      <c r="O95" s="15" t="s">
        <v>331</v>
      </c>
      <c r="V95" s="40" t="s">
        <v>291</v>
      </c>
    </row>
    <row r="96" spans="1:24">
      <c r="N96" s="74">
        <v>45994</v>
      </c>
      <c r="O96" s="15" t="s">
        <v>332</v>
      </c>
    </row>
    <row r="97" spans="14:15">
      <c r="N97" s="75">
        <v>46000</v>
      </c>
      <c r="O97" s="15" t="s">
        <v>333</v>
      </c>
    </row>
    <row r="98" spans="14:15">
      <c r="N98" s="75">
        <v>46049</v>
      </c>
      <c r="O98" s="15" t="s">
        <v>2574</v>
      </c>
    </row>
    <row r="99" spans="14:15">
      <c r="N99" s="75">
        <v>46066</v>
      </c>
      <c r="O99" s="15" t="s">
        <v>2583</v>
      </c>
    </row>
    <row r="100" spans="14:15">
      <c r="N100" s="75">
        <v>46114</v>
      </c>
      <c r="O100" s="15" t="s">
        <v>2595</v>
      </c>
    </row>
    <row r="101" spans="14:15">
      <c r="N101" s="75">
        <v>46114</v>
      </c>
      <c r="O101" s="15" t="s">
        <v>2601</v>
      </c>
    </row>
  </sheetData>
  <autoFilter ref="A3:X84" xr:uid="{00000000-0001-0000-0000-000000000000}"/>
  <mergeCells count="1">
    <mergeCell ref="B2:H2"/>
  </mergeCells>
  <phoneticPr fontId="4"/>
  <conditionalFormatting sqref="O3:S3">
    <cfRule type="duplicateValues" dxfId="11" priority="44"/>
  </conditionalFormatting>
  <conditionalFormatting sqref="O1:S3 O90:S1048576">
    <cfRule type="duplicateValues" dxfId="10" priority="7"/>
  </conditionalFormatting>
  <conditionalFormatting sqref="U40">
    <cfRule type="duplicateValues" dxfId="9" priority="5"/>
  </conditionalFormatting>
  <conditionalFormatting sqref="U22:U37 U4:U20 U42:U79">
    <cfRule type="duplicateValues" dxfId="8" priority="6"/>
  </conditionalFormatting>
  <conditionalFormatting sqref="U38">
    <cfRule type="duplicateValues" dxfId="7" priority="4"/>
  </conditionalFormatting>
  <conditionalFormatting sqref="U4:U83">
    <cfRule type="duplicateValues" dxfId="6" priority="3"/>
  </conditionalFormatting>
  <conditionalFormatting sqref="N4:S89">
    <cfRule type="duplicateValues" dxfId="5" priority="2"/>
  </conditionalFormatting>
  <conditionalFormatting sqref="T91">
    <cfRule type="duplicateValues" dxfId="4" priority="1"/>
  </conditionalFormatting>
  <pageMargins left="0" right="0" top="0.19685039370078741" bottom="0.19685039370078741" header="0.51181102362204722" footer="0.51181102362204722"/>
  <pageSetup paperSize="9" scale="11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_select">
                <anchor moveWithCells="1" sizeWithCells="1">
                  <from>
                    <xdr:col>6</xdr:col>
                    <xdr:colOff>9525</xdr:colOff>
                    <xdr:row>0</xdr:row>
                    <xdr:rowOff>38100</xdr:rowOff>
                  </from>
                  <to>
                    <xdr:col>6</xdr:col>
                    <xdr:colOff>714375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Check Box 9">
              <controlPr defaultSize="0" autoFill="0" autoLine="0" autoPict="0">
                <anchor moveWithCells="1">
                  <from>
                    <xdr:col>1</xdr:col>
                    <xdr:colOff>685800</xdr:colOff>
                    <xdr:row>4</xdr:row>
                    <xdr:rowOff>9525</xdr:rowOff>
                  </from>
                  <to>
                    <xdr:col>2</xdr:col>
                    <xdr:colOff>704850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Check Box 10">
              <controlPr defaultSize="0" autoFill="0" autoLine="0" autoPict="0">
                <anchor moveWithCells="1">
                  <from>
                    <xdr:col>1</xdr:col>
                    <xdr:colOff>685800</xdr:colOff>
                    <xdr:row>5</xdr:row>
                    <xdr:rowOff>0</xdr:rowOff>
                  </from>
                  <to>
                    <xdr:col>2</xdr:col>
                    <xdr:colOff>704850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Check Box 11">
              <controlPr defaultSize="0" autoFill="0" autoLine="0" autoPict="0">
                <anchor moveWithCells="1">
                  <from>
                    <xdr:col>1</xdr:col>
                    <xdr:colOff>685800</xdr:colOff>
                    <xdr:row>6</xdr:row>
                    <xdr:rowOff>0</xdr:rowOff>
                  </from>
                  <to>
                    <xdr:col>2</xdr:col>
                    <xdr:colOff>704850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Check Box 12">
              <controlPr defaultSize="0" autoFill="0" autoLine="0" autoPict="0">
                <anchor moveWithCells="1">
                  <from>
                    <xdr:col>1</xdr:col>
                    <xdr:colOff>685800</xdr:colOff>
                    <xdr:row>8</xdr:row>
                    <xdr:rowOff>9525</xdr:rowOff>
                  </from>
                  <to>
                    <xdr:col>2</xdr:col>
                    <xdr:colOff>704850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Check Box 14">
              <controlPr defaultSize="0" autoFill="0" autoLine="0" autoPict="0">
                <anchor moveWithCells="1">
                  <from>
                    <xdr:col>1</xdr:col>
                    <xdr:colOff>685800</xdr:colOff>
                    <xdr:row>9</xdr:row>
                    <xdr:rowOff>0</xdr:rowOff>
                  </from>
                  <to>
                    <xdr:col>2</xdr:col>
                    <xdr:colOff>704850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Check Box 15">
              <controlPr defaultSize="0" autoFill="0" autoLine="0" autoPict="0">
                <anchor moveWithCells="1">
                  <from>
                    <xdr:col>1</xdr:col>
                    <xdr:colOff>685800</xdr:colOff>
                    <xdr:row>10</xdr:row>
                    <xdr:rowOff>0</xdr:rowOff>
                  </from>
                  <to>
                    <xdr:col>2</xdr:col>
                    <xdr:colOff>704850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1" name="Check Box 18">
              <controlPr defaultSize="0" autoFill="0" autoLine="0" autoPict="0">
                <anchor moveWithCells="1">
                  <from>
                    <xdr:col>1</xdr:col>
                    <xdr:colOff>685800</xdr:colOff>
                    <xdr:row>13</xdr:row>
                    <xdr:rowOff>0</xdr:rowOff>
                  </from>
                  <to>
                    <xdr:col>2</xdr:col>
                    <xdr:colOff>704850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2" name="Check Box 19">
              <controlPr defaultSize="0" autoFill="0" autoLine="0" autoPict="0">
                <anchor moveWithCells="1">
                  <from>
                    <xdr:col>1</xdr:col>
                    <xdr:colOff>685800</xdr:colOff>
                    <xdr:row>14</xdr:row>
                    <xdr:rowOff>0</xdr:rowOff>
                  </from>
                  <to>
                    <xdr:col>2</xdr:col>
                    <xdr:colOff>704850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3" name="Check Box 20">
              <controlPr defaultSize="0" autoFill="0" autoLine="0" autoPict="0">
                <anchor moveWithCells="1">
                  <from>
                    <xdr:col>1</xdr:col>
                    <xdr:colOff>685800</xdr:colOff>
                    <xdr:row>15</xdr:row>
                    <xdr:rowOff>0</xdr:rowOff>
                  </from>
                  <to>
                    <xdr:col>2</xdr:col>
                    <xdr:colOff>704850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Check Box 21">
              <controlPr defaultSize="0" autoFill="0" autoLine="0" autoPict="0">
                <anchor moveWithCells="1">
                  <from>
                    <xdr:col>1</xdr:col>
                    <xdr:colOff>685800</xdr:colOff>
                    <xdr:row>21</xdr:row>
                    <xdr:rowOff>0</xdr:rowOff>
                  </from>
                  <to>
                    <xdr:col>2</xdr:col>
                    <xdr:colOff>704850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5" name="Check Box 22">
              <controlPr defaultSize="0" autoFill="0" autoLine="0" autoPict="0">
                <anchor moveWithCells="1">
                  <from>
                    <xdr:col>1</xdr:col>
                    <xdr:colOff>685800</xdr:colOff>
                    <xdr:row>22</xdr:row>
                    <xdr:rowOff>0</xdr:rowOff>
                  </from>
                  <to>
                    <xdr:col>2</xdr:col>
                    <xdr:colOff>704850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6" name="Check Box 23">
              <controlPr defaultSize="0" autoFill="0" autoLine="0" autoPict="0">
                <anchor moveWithCells="1">
                  <from>
                    <xdr:col>1</xdr:col>
                    <xdr:colOff>685800</xdr:colOff>
                    <xdr:row>17</xdr:row>
                    <xdr:rowOff>0</xdr:rowOff>
                  </from>
                  <to>
                    <xdr:col>2</xdr:col>
                    <xdr:colOff>704850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7" name="Check Box 24">
              <controlPr defaultSize="0" autoFill="0" autoLine="0" autoPict="0">
                <anchor moveWithCells="1">
                  <from>
                    <xdr:col>1</xdr:col>
                    <xdr:colOff>685800</xdr:colOff>
                    <xdr:row>18</xdr:row>
                    <xdr:rowOff>0</xdr:rowOff>
                  </from>
                  <to>
                    <xdr:col>2</xdr:col>
                    <xdr:colOff>704850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8" name="Check Box 25">
              <controlPr defaultSize="0" autoFill="0" autoLine="0" autoPict="0">
                <anchor moveWithCells="1">
                  <from>
                    <xdr:col>1</xdr:col>
                    <xdr:colOff>685800</xdr:colOff>
                    <xdr:row>24</xdr:row>
                    <xdr:rowOff>0</xdr:rowOff>
                  </from>
                  <to>
                    <xdr:col>2</xdr:col>
                    <xdr:colOff>704850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9" name="Check Box 26">
              <controlPr defaultSize="0" autoFill="0" autoLine="0" autoPict="0">
                <anchor moveWithCells="1">
                  <from>
                    <xdr:col>1</xdr:col>
                    <xdr:colOff>685800</xdr:colOff>
                    <xdr:row>24</xdr:row>
                    <xdr:rowOff>0</xdr:rowOff>
                  </from>
                  <to>
                    <xdr:col>2</xdr:col>
                    <xdr:colOff>704850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0" name="Check Box 27">
              <controlPr defaultSize="0" autoFill="0" autoLine="0" autoPict="0">
                <anchor moveWithCells="1">
                  <from>
                    <xdr:col>1</xdr:col>
                    <xdr:colOff>685800</xdr:colOff>
                    <xdr:row>25</xdr:row>
                    <xdr:rowOff>0</xdr:rowOff>
                  </from>
                  <to>
                    <xdr:col>2</xdr:col>
                    <xdr:colOff>704850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1" name="Check Box 28">
              <controlPr defaultSize="0" autoFill="0" autoLine="0" autoPict="0">
                <anchor moveWithCells="1">
                  <from>
                    <xdr:col>1</xdr:col>
                    <xdr:colOff>685800</xdr:colOff>
                    <xdr:row>26</xdr:row>
                    <xdr:rowOff>0</xdr:rowOff>
                  </from>
                  <to>
                    <xdr:col>2</xdr:col>
                    <xdr:colOff>704850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2" name="Check Box 29">
              <controlPr defaultSize="0" autoFill="0" autoLine="0" autoPict="0">
                <anchor moveWithCells="1">
                  <from>
                    <xdr:col>1</xdr:col>
                    <xdr:colOff>685800</xdr:colOff>
                    <xdr:row>29</xdr:row>
                    <xdr:rowOff>0</xdr:rowOff>
                  </from>
                  <to>
                    <xdr:col>2</xdr:col>
                    <xdr:colOff>704850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3" name="Check Box 30">
              <controlPr defaultSize="0" autoFill="0" autoLine="0" autoPict="0">
                <anchor moveWithCells="1">
                  <from>
                    <xdr:col>1</xdr:col>
                    <xdr:colOff>685800</xdr:colOff>
                    <xdr:row>30</xdr:row>
                    <xdr:rowOff>0</xdr:rowOff>
                  </from>
                  <to>
                    <xdr:col>2</xdr:col>
                    <xdr:colOff>704850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4" name="Check Box 31">
              <controlPr defaultSize="0" autoFill="0" autoLine="0" autoPict="0">
                <anchor moveWithCells="1">
                  <from>
                    <xdr:col>1</xdr:col>
                    <xdr:colOff>685800</xdr:colOff>
                    <xdr:row>31</xdr:row>
                    <xdr:rowOff>0</xdr:rowOff>
                  </from>
                  <to>
                    <xdr:col>2</xdr:col>
                    <xdr:colOff>704850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5" name="Check Box 32">
              <controlPr defaultSize="0" autoFill="0" autoLine="0" autoPict="0">
                <anchor moveWithCells="1">
                  <from>
                    <xdr:col>1</xdr:col>
                    <xdr:colOff>685800</xdr:colOff>
                    <xdr:row>32</xdr:row>
                    <xdr:rowOff>0</xdr:rowOff>
                  </from>
                  <to>
                    <xdr:col>2</xdr:col>
                    <xdr:colOff>704850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6" name="Check Box 33">
              <controlPr defaultSize="0" autoFill="0" autoLine="0" autoPict="0">
                <anchor moveWithCells="1">
                  <from>
                    <xdr:col>1</xdr:col>
                    <xdr:colOff>685800</xdr:colOff>
                    <xdr:row>34</xdr:row>
                    <xdr:rowOff>0</xdr:rowOff>
                  </from>
                  <to>
                    <xdr:col>2</xdr:col>
                    <xdr:colOff>704850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7" name="Check Box 34">
              <controlPr defaultSize="0" autoFill="0" autoLine="0" autoPict="0">
                <anchor moveWithCells="1">
                  <from>
                    <xdr:col>1</xdr:col>
                    <xdr:colOff>685800</xdr:colOff>
                    <xdr:row>35</xdr:row>
                    <xdr:rowOff>0</xdr:rowOff>
                  </from>
                  <to>
                    <xdr:col>2</xdr:col>
                    <xdr:colOff>704850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8" name="Check Box 35">
              <controlPr defaultSize="0" autoFill="0" autoLine="0" autoPict="0">
                <anchor moveWithCells="1">
                  <from>
                    <xdr:col>1</xdr:col>
                    <xdr:colOff>685800</xdr:colOff>
                    <xdr:row>36</xdr:row>
                    <xdr:rowOff>0</xdr:rowOff>
                  </from>
                  <to>
                    <xdr:col>2</xdr:col>
                    <xdr:colOff>704850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9" name="Check Box 36">
              <controlPr defaultSize="0" autoFill="0" autoLine="0" autoPict="0">
                <anchor moveWithCells="1">
                  <from>
                    <xdr:col>1</xdr:col>
                    <xdr:colOff>685800</xdr:colOff>
                    <xdr:row>37</xdr:row>
                    <xdr:rowOff>0</xdr:rowOff>
                  </from>
                  <to>
                    <xdr:col>2</xdr:col>
                    <xdr:colOff>704850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0" name="Check Box 37">
              <controlPr defaultSize="0" autoFill="0" autoLine="0" autoPict="0">
                <anchor moveWithCells="1">
                  <from>
                    <xdr:col>1</xdr:col>
                    <xdr:colOff>685800</xdr:colOff>
                    <xdr:row>39</xdr:row>
                    <xdr:rowOff>0</xdr:rowOff>
                  </from>
                  <to>
                    <xdr:col>2</xdr:col>
                    <xdr:colOff>704850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31" name="Check Box 38">
              <controlPr defaultSize="0" autoFill="0" autoLine="0" autoPict="0">
                <anchor moveWithCells="1">
                  <from>
                    <xdr:col>1</xdr:col>
                    <xdr:colOff>685800</xdr:colOff>
                    <xdr:row>41</xdr:row>
                    <xdr:rowOff>0</xdr:rowOff>
                  </from>
                  <to>
                    <xdr:col>2</xdr:col>
                    <xdr:colOff>704850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32" name="Check Box 39">
              <controlPr defaultSize="0" autoFill="0" autoLine="0" autoPict="0">
                <anchor moveWithCells="1">
                  <from>
                    <xdr:col>1</xdr:col>
                    <xdr:colOff>685800</xdr:colOff>
                    <xdr:row>42</xdr:row>
                    <xdr:rowOff>0</xdr:rowOff>
                  </from>
                  <to>
                    <xdr:col>2</xdr:col>
                    <xdr:colOff>704850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33" name="Check Box 40">
              <controlPr defaultSize="0" autoFill="0" autoLine="0" autoPict="0">
                <anchor moveWithCells="1">
                  <from>
                    <xdr:col>1</xdr:col>
                    <xdr:colOff>685800</xdr:colOff>
                    <xdr:row>43</xdr:row>
                    <xdr:rowOff>0</xdr:rowOff>
                  </from>
                  <to>
                    <xdr:col>2</xdr:col>
                    <xdr:colOff>704850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34" name="Check Box 41">
              <controlPr defaultSize="0" autoFill="0" autoLine="0" autoPict="0">
                <anchor moveWithCells="1">
                  <from>
                    <xdr:col>1</xdr:col>
                    <xdr:colOff>685800</xdr:colOff>
                    <xdr:row>44</xdr:row>
                    <xdr:rowOff>0</xdr:rowOff>
                  </from>
                  <to>
                    <xdr:col>2</xdr:col>
                    <xdr:colOff>704850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35" name="Check Box 42">
              <controlPr defaultSize="0" autoFill="0" autoLine="0" autoPict="0">
                <anchor moveWithCells="1">
                  <from>
                    <xdr:col>1</xdr:col>
                    <xdr:colOff>685800</xdr:colOff>
                    <xdr:row>45</xdr:row>
                    <xdr:rowOff>0</xdr:rowOff>
                  </from>
                  <to>
                    <xdr:col>2</xdr:col>
                    <xdr:colOff>704850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6" name="Check Box 46">
              <controlPr defaultSize="0" autoFill="0" autoLine="0" autoPict="0">
                <anchor moveWithCells="1">
                  <from>
                    <xdr:col>1</xdr:col>
                    <xdr:colOff>685800</xdr:colOff>
                    <xdr:row>49</xdr:row>
                    <xdr:rowOff>0</xdr:rowOff>
                  </from>
                  <to>
                    <xdr:col>2</xdr:col>
                    <xdr:colOff>704850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7" name="Check Box 47">
              <controlPr defaultSize="0" autoFill="0" autoLine="0" autoPict="0">
                <anchor moveWithCells="1">
                  <from>
                    <xdr:col>1</xdr:col>
                    <xdr:colOff>685800</xdr:colOff>
                    <xdr:row>49</xdr:row>
                    <xdr:rowOff>0</xdr:rowOff>
                  </from>
                  <to>
                    <xdr:col>2</xdr:col>
                    <xdr:colOff>704850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8" name="Check Box 48">
              <controlPr defaultSize="0" autoFill="0" autoLine="0" autoPict="0">
                <anchor moveWithCells="1">
                  <from>
                    <xdr:col>1</xdr:col>
                    <xdr:colOff>685800</xdr:colOff>
                    <xdr:row>50</xdr:row>
                    <xdr:rowOff>0</xdr:rowOff>
                  </from>
                  <to>
                    <xdr:col>2</xdr:col>
                    <xdr:colOff>704850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9" name="Check Box 49">
              <controlPr defaultSize="0" autoFill="0" autoLine="0" autoPict="0">
                <anchor moveWithCells="1">
                  <from>
                    <xdr:col>1</xdr:col>
                    <xdr:colOff>685800</xdr:colOff>
                    <xdr:row>52</xdr:row>
                    <xdr:rowOff>0</xdr:rowOff>
                  </from>
                  <to>
                    <xdr:col>2</xdr:col>
                    <xdr:colOff>704850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40" name="Check Box 50">
              <controlPr defaultSize="0" autoFill="0" autoLine="0" autoPict="0">
                <anchor moveWithCells="1">
                  <from>
                    <xdr:col>1</xdr:col>
                    <xdr:colOff>685800</xdr:colOff>
                    <xdr:row>53</xdr:row>
                    <xdr:rowOff>0</xdr:rowOff>
                  </from>
                  <to>
                    <xdr:col>2</xdr:col>
                    <xdr:colOff>704850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41" name="Check Box 51">
              <controlPr defaultSize="0" autoFill="0" autoLine="0" autoPict="0">
                <anchor moveWithCells="1">
                  <from>
                    <xdr:col>1</xdr:col>
                    <xdr:colOff>685800</xdr:colOff>
                    <xdr:row>55</xdr:row>
                    <xdr:rowOff>0</xdr:rowOff>
                  </from>
                  <to>
                    <xdr:col>2</xdr:col>
                    <xdr:colOff>704850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42" name="Check Box 52">
              <controlPr defaultSize="0" autoFill="0" autoLine="0" autoPict="0">
                <anchor moveWithCells="1">
                  <from>
                    <xdr:col>1</xdr:col>
                    <xdr:colOff>685800</xdr:colOff>
                    <xdr:row>56</xdr:row>
                    <xdr:rowOff>0</xdr:rowOff>
                  </from>
                  <to>
                    <xdr:col>2</xdr:col>
                    <xdr:colOff>704850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3" name="Check Box 53">
              <controlPr defaultSize="0" autoFill="0" autoLine="0" autoPict="0">
                <anchor moveWithCells="1">
                  <from>
                    <xdr:col>1</xdr:col>
                    <xdr:colOff>685800</xdr:colOff>
                    <xdr:row>57</xdr:row>
                    <xdr:rowOff>0</xdr:rowOff>
                  </from>
                  <to>
                    <xdr:col>2</xdr:col>
                    <xdr:colOff>704850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4" name="Check Box 54">
              <controlPr defaultSize="0" autoFill="0" autoLine="0" autoPict="0">
                <anchor moveWithCells="1">
                  <from>
                    <xdr:col>1</xdr:col>
                    <xdr:colOff>685800</xdr:colOff>
                    <xdr:row>59</xdr:row>
                    <xdr:rowOff>0</xdr:rowOff>
                  </from>
                  <to>
                    <xdr:col>2</xdr:col>
                    <xdr:colOff>704850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5" name="Check Box 55">
              <controlPr defaultSize="0" autoFill="0" autoLine="0" autoPict="0">
                <anchor moveWithCells="1">
                  <from>
                    <xdr:col>1</xdr:col>
                    <xdr:colOff>685800</xdr:colOff>
                    <xdr:row>60</xdr:row>
                    <xdr:rowOff>0</xdr:rowOff>
                  </from>
                  <to>
                    <xdr:col>2</xdr:col>
                    <xdr:colOff>704850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6" name="Check Box 56">
              <controlPr defaultSize="0" autoFill="0" autoLine="0" autoPict="0">
                <anchor moveWithCells="1">
                  <from>
                    <xdr:col>1</xdr:col>
                    <xdr:colOff>685800</xdr:colOff>
                    <xdr:row>61</xdr:row>
                    <xdr:rowOff>0</xdr:rowOff>
                  </from>
                  <to>
                    <xdr:col>2</xdr:col>
                    <xdr:colOff>704850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7" name="Check Box 57">
              <controlPr defaultSize="0" autoFill="0" autoLine="0" autoPict="0">
                <anchor moveWithCells="1">
                  <from>
                    <xdr:col>1</xdr:col>
                    <xdr:colOff>685800</xdr:colOff>
                    <xdr:row>63</xdr:row>
                    <xdr:rowOff>0</xdr:rowOff>
                  </from>
                  <to>
                    <xdr:col>2</xdr:col>
                    <xdr:colOff>704850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8" name="Check Box 58">
              <controlPr defaultSize="0" autoFill="0" autoLine="0" autoPict="0">
                <anchor moveWithCells="1">
                  <from>
                    <xdr:col>1</xdr:col>
                    <xdr:colOff>685800</xdr:colOff>
                    <xdr:row>64</xdr:row>
                    <xdr:rowOff>0</xdr:rowOff>
                  </from>
                  <to>
                    <xdr:col>2</xdr:col>
                    <xdr:colOff>704850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9" name="Check Box 59">
              <controlPr defaultSize="0" autoFill="0" autoLine="0" autoPict="0">
                <anchor moveWithCells="1">
                  <from>
                    <xdr:col>1</xdr:col>
                    <xdr:colOff>685800</xdr:colOff>
                    <xdr:row>65</xdr:row>
                    <xdr:rowOff>0</xdr:rowOff>
                  </from>
                  <to>
                    <xdr:col>2</xdr:col>
                    <xdr:colOff>704850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50" name="Check Box 60">
              <controlPr defaultSize="0" autoFill="0" autoLine="0" autoPict="0">
                <anchor moveWithCells="1">
                  <from>
                    <xdr:col>1</xdr:col>
                    <xdr:colOff>685800</xdr:colOff>
                    <xdr:row>63</xdr:row>
                    <xdr:rowOff>0</xdr:rowOff>
                  </from>
                  <to>
                    <xdr:col>2</xdr:col>
                    <xdr:colOff>704850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51" name="Check Box 61">
              <controlPr defaultSize="0" autoFill="0" autoLine="0" autoPict="0">
                <anchor moveWithCells="1">
                  <from>
                    <xdr:col>1</xdr:col>
                    <xdr:colOff>685800</xdr:colOff>
                    <xdr:row>67</xdr:row>
                    <xdr:rowOff>0</xdr:rowOff>
                  </from>
                  <to>
                    <xdr:col>2</xdr:col>
                    <xdr:colOff>704850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52" name="Check Box 62">
              <controlPr defaultSize="0" autoFill="0" autoLine="0" autoPict="0">
                <anchor moveWithCells="1">
                  <from>
                    <xdr:col>1</xdr:col>
                    <xdr:colOff>685800</xdr:colOff>
                    <xdr:row>68</xdr:row>
                    <xdr:rowOff>0</xdr:rowOff>
                  </from>
                  <to>
                    <xdr:col>2</xdr:col>
                    <xdr:colOff>704850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3" name="Check Box 63">
              <controlPr defaultSize="0" autoFill="0" autoLine="0" autoPict="0">
                <anchor moveWithCells="1">
                  <from>
                    <xdr:col>1</xdr:col>
                    <xdr:colOff>685800</xdr:colOff>
                    <xdr:row>69</xdr:row>
                    <xdr:rowOff>0</xdr:rowOff>
                  </from>
                  <to>
                    <xdr:col>2</xdr:col>
                    <xdr:colOff>704850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4" name="Check Box 64">
              <controlPr defaultSize="0" autoFill="0" autoLine="0" autoPict="0">
                <anchor moveWithCells="1">
                  <from>
                    <xdr:col>1</xdr:col>
                    <xdr:colOff>685800</xdr:colOff>
                    <xdr:row>70</xdr:row>
                    <xdr:rowOff>0</xdr:rowOff>
                  </from>
                  <to>
                    <xdr:col>2</xdr:col>
                    <xdr:colOff>704850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5" name="Check Box 65">
              <controlPr defaultSize="0" autoFill="0" autoLine="0" autoPict="0">
                <anchor moveWithCells="1">
                  <from>
                    <xdr:col>1</xdr:col>
                    <xdr:colOff>685800</xdr:colOff>
                    <xdr:row>71</xdr:row>
                    <xdr:rowOff>0</xdr:rowOff>
                  </from>
                  <to>
                    <xdr:col>2</xdr:col>
                    <xdr:colOff>704850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6" name="Check Box 66">
              <controlPr defaultSize="0" autoFill="0" autoLine="0" autoPict="0">
                <anchor moveWithCells="1">
                  <from>
                    <xdr:col>1</xdr:col>
                    <xdr:colOff>685800</xdr:colOff>
                    <xdr:row>72</xdr:row>
                    <xdr:rowOff>0</xdr:rowOff>
                  </from>
                  <to>
                    <xdr:col>2</xdr:col>
                    <xdr:colOff>704850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7" name="Check Box 67">
              <controlPr defaultSize="0" autoFill="0" autoLine="0" autoPict="0">
                <anchor moveWithCells="1">
                  <from>
                    <xdr:col>1</xdr:col>
                    <xdr:colOff>685800</xdr:colOff>
                    <xdr:row>73</xdr:row>
                    <xdr:rowOff>0</xdr:rowOff>
                  </from>
                  <to>
                    <xdr:col>2</xdr:col>
                    <xdr:colOff>704850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8" name="Check Box 68">
              <controlPr defaultSize="0" autoFill="0" autoLine="0" autoPict="0">
                <anchor moveWithCells="1">
                  <from>
                    <xdr:col>1</xdr:col>
                    <xdr:colOff>685800</xdr:colOff>
                    <xdr:row>74</xdr:row>
                    <xdr:rowOff>0</xdr:rowOff>
                  </from>
                  <to>
                    <xdr:col>2</xdr:col>
                    <xdr:colOff>704850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9" name="Check Box 69">
              <controlPr defaultSize="0" autoFill="0" autoLine="0" autoPict="0">
                <anchor moveWithCells="1">
                  <from>
                    <xdr:col>1</xdr:col>
                    <xdr:colOff>685800</xdr:colOff>
                    <xdr:row>75</xdr:row>
                    <xdr:rowOff>0</xdr:rowOff>
                  </from>
                  <to>
                    <xdr:col>2</xdr:col>
                    <xdr:colOff>704850</xdr:colOff>
                    <xdr:row>75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60" name="Button 70">
              <controlPr defaultSize="0" print="0" autoFill="0" autoPict="0" macro="[0]!Chk_East">
                <anchor moveWithCells="1">
                  <from>
                    <xdr:col>14</xdr:col>
                    <xdr:colOff>390525</xdr:colOff>
                    <xdr:row>0</xdr:row>
                    <xdr:rowOff>114300</xdr:rowOff>
                  </from>
                  <to>
                    <xdr:col>15</xdr:col>
                    <xdr:colOff>400050</xdr:colOff>
                    <xdr:row>0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61" name="Button 71">
              <controlPr defaultSize="0" print="0" autoFill="0" autoPict="0" macro="[0]!Clear_East">
                <anchor moveWithCells="1">
                  <from>
                    <xdr:col>15</xdr:col>
                    <xdr:colOff>695325</xdr:colOff>
                    <xdr:row>0</xdr:row>
                    <xdr:rowOff>133350</xdr:rowOff>
                  </from>
                  <to>
                    <xdr:col>16</xdr:col>
                    <xdr:colOff>704850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62" name="Button 72">
              <controlPr defaultSize="0" print="0" autoFill="0" autoPict="0" macro="[0]!Chk_kanto">
                <anchor moveWithCells="1">
                  <from>
                    <xdr:col>17</xdr:col>
                    <xdr:colOff>257175</xdr:colOff>
                    <xdr:row>0</xdr:row>
                    <xdr:rowOff>114300</xdr:rowOff>
                  </from>
                  <to>
                    <xdr:col>18</xdr:col>
                    <xdr:colOff>266700</xdr:colOff>
                    <xdr:row>0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3" name="Button 73">
              <controlPr defaultSize="0" print="0" autoFill="0" autoPict="0" macro="[0]!Chk_cyubu">
                <anchor moveWithCells="1">
                  <from>
                    <xdr:col>20</xdr:col>
                    <xdr:colOff>190500</xdr:colOff>
                    <xdr:row>0</xdr:row>
                    <xdr:rowOff>76200</xdr:rowOff>
                  </from>
                  <to>
                    <xdr:col>21</xdr:col>
                    <xdr:colOff>38100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4" name="Button 74">
              <controlPr defaultSize="0" print="0" autoFill="0" autoPict="0" macro="[0]!Chk_kansai">
                <anchor moveWithCells="1">
                  <from>
                    <xdr:col>22</xdr:col>
                    <xdr:colOff>257175</xdr:colOff>
                    <xdr:row>0</xdr:row>
                    <xdr:rowOff>133350</xdr:rowOff>
                  </from>
                  <to>
                    <xdr:col>24</xdr:col>
                    <xdr:colOff>209550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5" name="Button 75">
              <controlPr defaultSize="0" print="0" autoFill="0" autoPict="0" macro="[0]!Chk_West">
                <anchor moveWithCells="1">
                  <from>
                    <xdr:col>24</xdr:col>
                    <xdr:colOff>180975</xdr:colOff>
                    <xdr:row>0</xdr:row>
                    <xdr:rowOff>114300</xdr:rowOff>
                  </from>
                  <to>
                    <xdr:col>25</xdr:col>
                    <xdr:colOff>390525</xdr:colOff>
                    <xdr:row>0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6" name="Button 76">
              <controlPr defaultSize="0" print="0" autoFill="0" autoPict="0" macro="[0]!Clear_kanto">
                <anchor moveWithCells="1">
                  <from>
                    <xdr:col>18</xdr:col>
                    <xdr:colOff>514350</xdr:colOff>
                    <xdr:row>0</xdr:row>
                    <xdr:rowOff>95250</xdr:rowOff>
                  </from>
                  <to>
                    <xdr:col>19</xdr:col>
                    <xdr:colOff>523875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7" name="Button 77">
              <controlPr defaultSize="0" print="0" autoFill="0" autoPict="0" macro="[0]!Clear_cyubu">
                <anchor moveWithCells="1">
                  <from>
                    <xdr:col>21</xdr:col>
                    <xdr:colOff>180975</xdr:colOff>
                    <xdr:row>0</xdr:row>
                    <xdr:rowOff>114300</xdr:rowOff>
                  </from>
                  <to>
                    <xdr:col>23</xdr:col>
                    <xdr:colOff>114300</xdr:colOff>
                    <xdr:row>0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8" name="Button 80">
              <controlPr defaultSize="0" print="0" autoFill="0" autoPict="0" macro="[0]!CS_select">
                <anchor moveWithCells="1">
                  <from>
                    <xdr:col>2</xdr:col>
                    <xdr:colOff>19050</xdr:colOff>
                    <xdr:row>0</xdr:row>
                    <xdr:rowOff>38100</xdr:rowOff>
                  </from>
                  <to>
                    <xdr:col>3</xdr:col>
                    <xdr:colOff>304800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Clear_AllCS">
                <anchor moveWithCells="1">
                  <from>
                    <xdr:col>4</xdr:col>
                    <xdr:colOff>428625</xdr:colOff>
                    <xdr:row>0</xdr:row>
                    <xdr:rowOff>28575</xdr:rowOff>
                  </from>
                  <to>
                    <xdr:col>5</xdr:col>
                    <xdr:colOff>476250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Chk_AllCS">
                <anchor moveWithCells="1">
                  <from>
                    <xdr:col>3</xdr:col>
                    <xdr:colOff>333375</xdr:colOff>
                    <xdr:row>0</xdr:row>
                    <xdr:rowOff>38100</xdr:rowOff>
                  </from>
                  <to>
                    <xdr:col>4</xdr:col>
                    <xdr:colOff>381000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Check Box 84">
              <controlPr defaultSize="0" autoFill="0" autoLine="0" autoPict="0">
                <anchor moveWithCells="1">
                  <from>
                    <xdr:col>1</xdr:col>
                    <xdr:colOff>676275</xdr:colOff>
                    <xdr:row>54</xdr:row>
                    <xdr:rowOff>19050</xdr:rowOff>
                  </from>
                  <to>
                    <xdr:col>2</xdr:col>
                    <xdr:colOff>695325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Check Box 85">
              <controlPr defaultSize="0" autoFill="0" autoLine="0" autoPict="0">
                <anchor moveWithCells="1">
                  <from>
                    <xdr:col>1</xdr:col>
                    <xdr:colOff>685800</xdr:colOff>
                    <xdr:row>7</xdr:row>
                    <xdr:rowOff>0</xdr:rowOff>
                  </from>
                  <to>
                    <xdr:col>2</xdr:col>
                    <xdr:colOff>704850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Check Box 86">
              <controlPr defaultSize="0" autoFill="0" autoLine="0" autoPict="0">
                <anchor moveWithCells="1">
                  <from>
                    <xdr:col>1</xdr:col>
                    <xdr:colOff>685800</xdr:colOff>
                    <xdr:row>26</xdr:row>
                    <xdr:rowOff>0</xdr:rowOff>
                  </from>
                  <to>
                    <xdr:col>2</xdr:col>
                    <xdr:colOff>704850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Check Box 87">
              <controlPr defaultSize="0" autoFill="0" autoLine="0" autoPict="0">
                <anchor moveWithCells="1">
                  <from>
                    <xdr:col>1</xdr:col>
                    <xdr:colOff>685800</xdr:colOff>
                    <xdr:row>33</xdr:row>
                    <xdr:rowOff>0</xdr:rowOff>
                  </from>
                  <to>
                    <xdr:col>2</xdr:col>
                    <xdr:colOff>704850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Check Box 88">
              <controlPr defaultSize="0" autoFill="0" autoLine="0" autoPict="0">
                <anchor moveWithCells="1">
                  <from>
                    <xdr:col>1</xdr:col>
                    <xdr:colOff>685800</xdr:colOff>
                    <xdr:row>40</xdr:row>
                    <xdr:rowOff>0</xdr:rowOff>
                  </from>
                  <to>
                    <xdr:col>2</xdr:col>
                    <xdr:colOff>704850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Check Box 89">
              <controlPr defaultSize="0" autoFill="0" autoLine="0" autoPict="0">
                <anchor moveWithCells="1">
                  <from>
                    <xdr:col>1</xdr:col>
                    <xdr:colOff>685800</xdr:colOff>
                    <xdr:row>20</xdr:row>
                    <xdr:rowOff>0</xdr:rowOff>
                  </from>
                  <to>
                    <xdr:col>2</xdr:col>
                    <xdr:colOff>704850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Check Box 90">
              <controlPr defaultSize="0" autoFill="0" autoLine="0" autoPict="0">
                <anchor moveWithCells="1">
                  <from>
                    <xdr:col>1</xdr:col>
                    <xdr:colOff>685800</xdr:colOff>
                    <xdr:row>38</xdr:row>
                    <xdr:rowOff>0</xdr:rowOff>
                  </from>
                  <to>
                    <xdr:col>2</xdr:col>
                    <xdr:colOff>704850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Check Box 91">
              <controlPr defaultSize="0" autoFill="0" autoLine="0" autoPict="0">
                <anchor moveWithCells="1">
                  <from>
                    <xdr:col>1</xdr:col>
                    <xdr:colOff>685800</xdr:colOff>
                    <xdr:row>76</xdr:row>
                    <xdr:rowOff>0</xdr:rowOff>
                  </from>
                  <to>
                    <xdr:col>2</xdr:col>
                    <xdr:colOff>704850</xdr:colOff>
                    <xdr:row>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Check Box 92">
              <controlPr defaultSize="0" autoFill="0" autoLine="0" autoPict="0">
                <anchor moveWithCells="1">
                  <from>
                    <xdr:col>1</xdr:col>
                    <xdr:colOff>685800</xdr:colOff>
                    <xdr:row>65</xdr:row>
                    <xdr:rowOff>180975</xdr:rowOff>
                  </from>
                  <to>
                    <xdr:col>2</xdr:col>
                    <xdr:colOff>704850</xdr:colOff>
                    <xdr:row>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Check Box 93">
              <controlPr defaultSize="0" autoFill="0" autoLine="0" autoPict="0">
                <anchor moveWithCells="1">
                  <from>
                    <xdr:col>1</xdr:col>
                    <xdr:colOff>676275</xdr:colOff>
                    <xdr:row>51</xdr:row>
                    <xdr:rowOff>0</xdr:rowOff>
                  </from>
                  <to>
                    <xdr:col>2</xdr:col>
                    <xdr:colOff>695325</xdr:colOff>
                    <xdr:row>51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81" name="Check Box 127">
              <controlPr defaultSize="0" autoFill="0" autoLine="0" autoPict="0">
                <anchor moveWithCells="1">
                  <from>
                    <xdr:col>1</xdr:col>
                    <xdr:colOff>685800</xdr:colOff>
                    <xdr:row>48</xdr:row>
                    <xdr:rowOff>0</xdr:rowOff>
                  </from>
                  <to>
                    <xdr:col>2</xdr:col>
                    <xdr:colOff>704850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82" name="Check Box 128">
              <controlPr defaultSize="0" autoFill="0" autoLine="0" autoPict="0">
                <anchor moveWithCells="1">
                  <from>
                    <xdr:col>1</xdr:col>
                    <xdr:colOff>685800</xdr:colOff>
                    <xdr:row>77</xdr:row>
                    <xdr:rowOff>0</xdr:rowOff>
                  </from>
                  <to>
                    <xdr:col>2</xdr:col>
                    <xdr:colOff>704850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83" name="Check Box 129">
              <controlPr defaultSize="0" autoFill="0" autoLine="0" autoPict="0">
                <anchor moveWithCells="1">
                  <from>
                    <xdr:col>1</xdr:col>
                    <xdr:colOff>685800</xdr:colOff>
                    <xdr:row>79</xdr:row>
                    <xdr:rowOff>0</xdr:rowOff>
                  </from>
                  <to>
                    <xdr:col>2</xdr:col>
                    <xdr:colOff>704850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84" name="Check Box 130">
              <controlPr defaultSize="0" autoFill="0" autoLine="0" autoPict="0">
                <anchor moveWithCells="1">
                  <from>
                    <xdr:col>1</xdr:col>
                    <xdr:colOff>685800</xdr:colOff>
                    <xdr:row>78</xdr:row>
                    <xdr:rowOff>0</xdr:rowOff>
                  </from>
                  <to>
                    <xdr:col>2</xdr:col>
                    <xdr:colOff>704850</xdr:colOff>
                    <xdr:row>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85" name="Check Box 131">
              <controlPr defaultSize="0" autoFill="0" autoLine="0" autoPict="0">
                <anchor moveWithCells="1">
                  <from>
                    <xdr:col>1</xdr:col>
                    <xdr:colOff>685800</xdr:colOff>
                    <xdr:row>80</xdr:row>
                    <xdr:rowOff>0</xdr:rowOff>
                  </from>
                  <to>
                    <xdr:col>2</xdr:col>
                    <xdr:colOff>704850</xdr:colOff>
                    <xdr:row>80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86" name="Check Box 132">
              <controlPr defaultSize="0" autoFill="0" autoLine="0" autoPict="0">
                <anchor moveWithCells="1">
                  <from>
                    <xdr:col>1</xdr:col>
                    <xdr:colOff>685800</xdr:colOff>
                    <xdr:row>46</xdr:row>
                    <xdr:rowOff>0</xdr:rowOff>
                  </from>
                  <to>
                    <xdr:col>2</xdr:col>
                    <xdr:colOff>704850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87" name="Check Box 133">
              <controlPr defaultSize="0" autoFill="0" autoLine="0" autoPict="0">
                <anchor moveWithCells="1">
                  <from>
                    <xdr:col>1</xdr:col>
                    <xdr:colOff>685800</xdr:colOff>
                    <xdr:row>26</xdr:row>
                    <xdr:rowOff>0</xdr:rowOff>
                  </from>
                  <to>
                    <xdr:col>2</xdr:col>
                    <xdr:colOff>704850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88" name="Check Box 134">
              <controlPr defaultSize="0" autoFill="0" autoLine="0" autoPict="0">
                <anchor moveWithCells="1">
                  <from>
                    <xdr:col>1</xdr:col>
                    <xdr:colOff>685800</xdr:colOff>
                    <xdr:row>26</xdr:row>
                    <xdr:rowOff>0</xdr:rowOff>
                  </from>
                  <to>
                    <xdr:col>2</xdr:col>
                    <xdr:colOff>704850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89" name="Check Box 135">
              <controlPr defaultSize="0" autoFill="0" autoLine="0" autoPict="0">
                <anchor moveWithCells="1">
                  <from>
                    <xdr:col>1</xdr:col>
                    <xdr:colOff>685800</xdr:colOff>
                    <xdr:row>29</xdr:row>
                    <xdr:rowOff>0</xdr:rowOff>
                  </from>
                  <to>
                    <xdr:col>2</xdr:col>
                    <xdr:colOff>704850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90" name="Check Box 136">
              <controlPr defaultSize="0" autoFill="0" autoLine="0" autoPict="0">
                <anchor moveWithCells="1">
                  <from>
                    <xdr:col>1</xdr:col>
                    <xdr:colOff>685800</xdr:colOff>
                    <xdr:row>30</xdr:row>
                    <xdr:rowOff>0</xdr:rowOff>
                  </from>
                  <to>
                    <xdr:col>2</xdr:col>
                    <xdr:colOff>704850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91" name="Check Box 137">
              <controlPr defaultSize="0" autoFill="0" autoLine="0" autoPict="0">
                <anchor moveWithCells="1">
                  <from>
                    <xdr:col>1</xdr:col>
                    <xdr:colOff>685800</xdr:colOff>
                    <xdr:row>31</xdr:row>
                    <xdr:rowOff>0</xdr:rowOff>
                  </from>
                  <to>
                    <xdr:col>2</xdr:col>
                    <xdr:colOff>704850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92" name="Check Box 138">
              <controlPr defaultSize="0" autoFill="0" autoLine="0" autoPict="0">
                <anchor moveWithCells="1">
                  <from>
                    <xdr:col>1</xdr:col>
                    <xdr:colOff>685800</xdr:colOff>
                    <xdr:row>32</xdr:row>
                    <xdr:rowOff>0</xdr:rowOff>
                  </from>
                  <to>
                    <xdr:col>2</xdr:col>
                    <xdr:colOff>704850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93" name="Check Box 139">
              <controlPr defaultSize="0" autoFill="0" autoLine="0" autoPict="0">
                <anchor moveWithCells="1">
                  <from>
                    <xdr:col>1</xdr:col>
                    <xdr:colOff>685800</xdr:colOff>
                    <xdr:row>33</xdr:row>
                    <xdr:rowOff>0</xdr:rowOff>
                  </from>
                  <to>
                    <xdr:col>2</xdr:col>
                    <xdr:colOff>704850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94" name="Check Box 140">
              <controlPr defaultSize="0" autoFill="0" autoLine="0" autoPict="0">
                <anchor moveWithCells="1">
                  <from>
                    <xdr:col>1</xdr:col>
                    <xdr:colOff>685800</xdr:colOff>
                    <xdr:row>34</xdr:row>
                    <xdr:rowOff>0</xdr:rowOff>
                  </from>
                  <to>
                    <xdr:col>2</xdr:col>
                    <xdr:colOff>704850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95" name="Check Box 141">
              <controlPr defaultSize="0" autoFill="0" autoLine="0" autoPict="0">
                <anchor moveWithCells="1">
                  <from>
                    <xdr:col>1</xdr:col>
                    <xdr:colOff>685800</xdr:colOff>
                    <xdr:row>35</xdr:row>
                    <xdr:rowOff>0</xdr:rowOff>
                  </from>
                  <to>
                    <xdr:col>2</xdr:col>
                    <xdr:colOff>704850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96" name="Check Box 142">
              <controlPr defaultSize="0" autoFill="0" autoLine="0" autoPict="0">
                <anchor moveWithCells="1">
                  <from>
                    <xdr:col>1</xdr:col>
                    <xdr:colOff>685800</xdr:colOff>
                    <xdr:row>36</xdr:row>
                    <xdr:rowOff>0</xdr:rowOff>
                  </from>
                  <to>
                    <xdr:col>2</xdr:col>
                    <xdr:colOff>704850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97" name="Check Box 143">
              <controlPr defaultSize="0" autoFill="0" autoLine="0" autoPict="0">
                <anchor moveWithCells="1">
                  <from>
                    <xdr:col>1</xdr:col>
                    <xdr:colOff>685800</xdr:colOff>
                    <xdr:row>37</xdr:row>
                    <xdr:rowOff>0</xdr:rowOff>
                  </from>
                  <to>
                    <xdr:col>2</xdr:col>
                    <xdr:colOff>704850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98" name="Check Box 145">
              <controlPr defaultSize="0" autoFill="0" autoLine="0" autoPict="0">
                <anchor moveWithCells="1">
                  <from>
                    <xdr:col>1</xdr:col>
                    <xdr:colOff>685800</xdr:colOff>
                    <xdr:row>39</xdr:row>
                    <xdr:rowOff>0</xdr:rowOff>
                  </from>
                  <to>
                    <xdr:col>2</xdr:col>
                    <xdr:colOff>704850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99" name="Check Box 146">
              <controlPr defaultSize="0" autoFill="0" autoLine="0" autoPict="0">
                <anchor moveWithCells="1">
                  <from>
                    <xdr:col>1</xdr:col>
                    <xdr:colOff>685800</xdr:colOff>
                    <xdr:row>40</xdr:row>
                    <xdr:rowOff>0</xdr:rowOff>
                  </from>
                  <to>
                    <xdr:col>2</xdr:col>
                    <xdr:colOff>704850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00" name="Check Box 147">
              <controlPr defaultSize="0" autoFill="0" autoLine="0" autoPict="0">
                <anchor moveWithCells="1">
                  <from>
                    <xdr:col>1</xdr:col>
                    <xdr:colOff>685800</xdr:colOff>
                    <xdr:row>41</xdr:row>
                    <xdr:rowOff>0</xdr:rowOff>
                  </from>
                  <to>
                    <xdr:col>2</xdr:col>
                    <xdr:colOff>704850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01" name="Check Box 148">
              <controlPr defaultSize="0" autoFill="0" autoLine="0" autoPict="0">
                <anchor moveWithCells="1">
                  <from>
                    <xdr:col>1</xdr:col>
                    <xdr:colOff>685800</xdr:colOff>
                    <xdr:row>42</xdr:row>
                    <xdr:rowOff>0</xdr:rowOff>
                  </from>
                  <to>
                    <xdr:col>2</xdr:col>
                    <xdr:colOff>704850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02" name="Check Box 149">
              <controlPr defaultSize="0" autoFill="0" autoLine="0" autoPict="0">
                <anchor moveWithCells="1">
                  <from>
                    <xdr:col>1</xdr:col>
                    <xdr:colOff>685800</xdr:colOff>
                    <xdr:row>43</xdr:row>
                    <xdr:rowOff>0</xdr:rowOff>
                  </from>
                  <to>
                    <xdr:col>2</xdr:col>
                    <xdr:colOff>704850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03" name="Check Box 150">
              <controlPr defaultSize="0" autoFill="0" autoLine="0" autoPict="0">
                <anchor moveWithCells="1">
                  <from>
                    <xdr:col>1</xdr:col>
                    <xdr:colOff>685800</xdr:colOff>
                    <xdr:row>44</xdr:row>
                    <xdr:rowOff>0</xdr:rowOff>
                  </from>
                  <to>
                    <xdr:col>2</xdr:col>
                    <xdr:colOff>704850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04" name="Check Box 151">
              <controlPr defaultSize="0" autoFill="0" autoLine="0" autoPict="0">
                <anchor moveWithCells="1">
                  <from>
                    <xdr:col>1</xdr:col>
                    <xdr:colOff>685800</xdr:colOff>
                    <xdr:row>45</xdr:row>
                    <xdr:rowOff>0</xdr:rowOff>
                  </from>
                  <to>
                    <xdr:col>2</xdr:col>
                    <xdr:colOff>704850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05" name="Check Box 152">
              <controlPr defaultSize="0" autoFill="0" autoLine="0" autoPict="0">
                <anchor moveWithCells="1">
                  <from>
                    <xdr:col>1</xdr:col>
                    <xdr:colOff>685800</xdr:colOff>
                    <xdr:row>46</xdr:row>
                    <xdr:rowOff>0</xdr:rowOff>
                  </from>
                  <to>
                    <xdr:col>2</xdr:col>
                    <xdr:colOff>704850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06" name="Check Box 153">
              <controlPr defaultSize="0" autoFill="0" autoLine="0" autoPict="0">
                <anchor moveWithCells="1">
                  <from>
                    <xdr:col>1</xdr:col>
                    <xdr:colOff>685800</xdr:colOff>
                    <xdr:row>48</xdr:row>
                    <xdr:rowOff>0</xdr:rowOff>
                  </from>
                  <to>
                    <xdr:col>2</xdr:col>
                    <xdr:colOff>704850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07" name="Check Box 154">
              <controlPr defaultSize="0" autoFill="0" autoLine="0" autoPict="0">
                <anchor moveWithCells="1">
                  <from>
                    <xdr:col>1</xdr:col>
                    <xdr:colOff>685800</xdr:colOff>
                    <xdr:row>49</xdr:row>
                    <xdr:rowOff>0</xdr:rowOff>
                  </from>
                  <to>
                    <xdr:col>2</xdr:col>
                    <xdr:colOff>704850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08" name="Check Box 157">
              <controlPr defaultSize="0" autoFill="0" autoLine="0" autoPict="0">
                <anchor moveWithCells="1">
                  <from>
                    <xdr:col>1</xdr:col>
                    <xdr:colOff>685800</xdr:colOff>
                    <xdr:row>52</xdr:row>
                    <xdr:rowOff>0</xdr:rowOff>
                  </from>
                  <to>
                    <xdr:col>2</xdr:col>
                    <xdr:colOff>704850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09" name="Check Box 158">
              <controlPr defaultSize="0" autoFill="0" autoLine="0" autoPict="0">
                <anchor moveWithCells="1">
                  <from>
                    <xdr:col>1</xdr:col>
                    <xdr:colOff>685800</xdr:colOff>
                    <xdr:row>53</xdr:row>
                    <xdr:rowOff>0</xdr:rowOff>
                  </from>
                  <to>
                    <xdr:col>2</xdr:col>
                    <xdr:colOff>704850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10" name="Check Box 160">
              <controlPr defaultSize="0" autoFill="0" autoLine="0" autoPict="0">
                <anchor moveWithCells="1">
                  <from>
                    <xdr:col>1</xdr:col>
                    <xdr:colOff>685800</xdr:colOff>
                    <xdr:row>55</xdr:row>
                    <xdr:rowOff>0</xdr:rowOff>
                  </from>
                  <to>
                    <xdr:col>2</xdr:col>
                    <xdr:colOff>704850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11" name="Check Box 161">
              <controlPr defaultSize="0" autoFill="0" autoLine="0" autoPict="0">
                <anchor moveWithCells="1">
                  <from>
                    <xdr:col>1</xdr:col>
                    <xdr:colOff>685800</xdr:colOff>
                    <xdr:row>56</xdr:row>
                    <xdr:rowOff>0</xdr:rowOff>
                  </from>
                  <to>
                    <xdr:col>2</xdr:col>
                    <xdr:colOff>704850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12" name="Check Box 162">
              <controlPr defaultSize="0" autoFill="0" autoLine="0" autoPict="0">
                <anchor moveWithCells="1">
                  <from>
                    <xdr:col>1</xdr:col>
                    <xdr:colOff>685800</xdr:colOff>
                    <xdr:row>57</xdr:row>
                    <xdr:rowOff>0</xdr:rowOff>
                  </from>
                  <to>
                    <xdr:col>2</xdr:col>
                    <xdr:colOff>704850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3" name="Check Box 163">
              <controlPr defaultSize="0" autoFill="0" autoLine="0" autoPict="0">
                <anchor moveWithCells="1">
                  <from>
                    <xdr:col>1</xdr:col>
                    <xdr:colOff>685800</xdr:colOff>
                    <xdr:row>59</xdr:row>
                    <xdr:rowOff>0</xdr:rowOff>
                  </from>
                  <to>
                    <xdr:col>2</xdr:col>
                    <xdr:colOff>704850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14" name="Check Box 164">
              <controlPr defaultSize="0" autoFill="0" autoLine="0" autoPict="0">
                <anchor moveWithCells="1">
                  <from>
                    <xdr:col>1</xdr:col>
                    <xdr:colOff>685800</xdr:colOff>
                    <xdr:row>60</xdr:row>
                    <xdr:rowOff>0</xdr:rowOff>
                  </from>
                  <to>
                    <xdr:col>2</xdr:col>
                    <xdr:colOff>704850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15" name="Check Box 165">
              <controlPr defaultSize="0" autoFill="0" autoLine="0" autoPict="0">
                <anchor moveWithCells="1">
                  <from>
                    <xdr:col>1</xdr:col>
                    <xdr:colOff>685800</xdr:colOff>
                    <xdr:row>61</xdr:row>
                    <xdr:rowOff>0</xdr:rowOff>
                  </from>
                  <to>
                    <xdr:col>2</xdr:col>
                    <xdr:colOff>704850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16" name="Check Box 166">
              <controlPr defaultSize="0" autoFill="0" autoLine="0" autoPict="0">
                <anchor moveWithCells="1">
                  <from>
                    <xdr:col>1</xdr:col>
                    <xdr:colOff>685800</xdr:colOff>
                    <xdr:row>63</xdr:row>
                    <xdr:rowOff>0</xdr:rowOff>
                  </from>
                  <to>
                    <xdr:col>2</xdr:col>
                    <xdr:colOff>704850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17" name="Check Box 167">
              <controlPr defaultSize="0" autoFill="0" autoLine="0" autoPict="0">
                <anchor moveWithCells="1">
                  <from>
                    <xdr:col>1</xdr:col>
                    <xdr:colOff>685800</xdr:colOff>
                    <xdr:row>64</xdr:row>
                    <xdr:rowOff>0</xdr:rowOff>
                  </from>
                  <to>
                    <xdr:col>2</xdr:col>
                    <xdr:colOff>704850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18" name="Check Box 168">
              <controlPr defaultSize="0" autoFill="0" autoLine="0" autoPict="0">
                <anchor moveWithCells="1">
                  <from>
                    <xdr:col>1</xdr:col>
                    <xdr:colOff>685800</xdr:colOff>
                    <xdr:row>65</xdr:row>
                    <xdr:rowOff>0</xdr:rowOff>
                  </from>
                  <to>
                    <xdr:col>2</xdr:col>
                    <xdr:colOff>704850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19" name="Check Box 170">
              <controlPr defaultSize="0" autoFill="0" autoLine="0" autoPict="0">
                <anchor moveWithCells="1">
                  <from>
                    <xdr:col>1</xdr:col>
                    <xdr:colOff>685800</xdr:colOff>
                    <xdr:row>67</xdr:row>
                    <xdr:rowOff>0</xdr:rowOff>
                  </from>
                  <to>
                    <xdr:col>2</xdr:col>
                    <xdr:colOff>704850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20" name="Check Box 171">
              <controlPr defaultSize="0" autoFill="0" autoLine="0" autoPict="0">
                <anchor moveWithCells="1">
                  <from>
                    <xdr:col>1</xdr:col>
                    <xdr:colOff>685800</xdr:colOff>
                    <xdr:row>68</xdr:row>
                    <xdr:rowOff>0</xdr:rowOff>
                  </from>
                  <to>
                    <xdr:col>2</xdr:col>
                    <xdr:colOff>704850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21" name="Check Box 172">
              <controlPr defaultSize="0" autoFill="0" autoLine="0" autoPict="0">
                <anchor moveWithCells="1">
                  <from>
                    <xdr:col>1</xdr:col>
                    <xdr:colOff>685800</xdr:colOff>
                    <xdr:row>69</xdr:row>
                    <xdr:rowOff>0</xdr:rowOff>
                  </from>
                  <to>
                    <xdr:col>2</xdr:col>
                    <xdr:colOff>704850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22" name="Check Box 173">
              <controlPr defaultSize="0" autoFill="0" autoLine="0" autoPict="0">
                <anchor moveWithCells="1">
                  <from>
                    <xdr:col>1</xdr:col>
                    <xdr:colOff>685800</xdr:colOff>
                    <xdr:row>70</xdr:row>
                    <xdr:rowOff>0</xdr:rowOff>
                  </from>
                  <to>
                    <xdr:col>2</xdr:col>
                    <xdr:colOff>704850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23" name="Check Box 174">
              <controlPr defaultSize="0" autoFill="0" autoLine="0" autoPict="0">
                <anchor moveWithCells="1">
                  <from>
                    <xdr:col>1</xdr:col>
                    <xdr:colOff>685800</xdr:colOff>
                    <xdr:row>71</xdr:row>
                    <xdr:rowOff>0</xdr:rowOff>
                  </from>
                  <to>
                    <xdr:col>2</xdr:col>
                    <xdr:colOff>704850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24" name="Check Box 176">
              <controlPr defaultSize="0" autoFill="0" autoLine="0" autoPict="0">
                <anchor moveWithCells="1">
                  <from>
                    <xdr:col>1</xdr:col>
                    <xdr:colOff>685800</xdr:colOff>
                    <xdr:row>73</xdr:row>
                    <xdr:rowOff>0</xdr:rowOff>
                  </from>
                  <to>
                    <xdr:col>2</xdr:col>
                    <xdr:colOff>704850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25" name="Check Box 177">
              <controlPr defaultSize="0" autoFill="0" autoLine="0" autoPict="0">
                <anchor moveWithCells="1">
                  <from>
                    <xdr:col>1</xdr:col>
                    <xdr:colOff>685800</xdr:colOff>
                    <xdr:row>74</xdr:row>
                    <xdr:rowOff>0</xdr:rowOff>
                  </from>
                  <to>
                    <xdr:col>2</xdr:col>
                    <xdr:colOff>704850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26" name="Check Box 178">
              <controlPr defaultSize="0" autoFill="0" autoLine="0" autoPict="0">
                <anchor moveWithCells="1">
                  <from>
                    <xdr:col>1</xdr:col>
                    <xdr:colOff>685800</xdr:colOff>
                    <xdr:row>75</xdr:row>
                    <xdr:rowOff>0</xdr:rowOff>
                  </from>
                  <to>
                    <xdr:col>2</xdr:col>
                    <xdr:colOff>704850</xdr:colOff>
                    <xdr:row>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27" name="Check Box 179">
              <controlPr defaultSize="0" autoFill="0" autoLine="0" autoPict="0">
                <anchor moveWithCells="1">
                  <from>
                    <xdr:col>1</xdr:col>
                    <xdr:colOff>685800</xdr:colOff>
                    <xdr:row>76</xdr:row>
                    <xdr:rowOff>0</xdr:rowOff>
                  </from>
                  <to>
                    <xdr:col>2</xdr:col>
                    <xdr:colOff>704850</xdr:colOff>
                    <xdr:row>76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28" name="Check Box 180">
              <controlPr defaultSize="0" autoFill="0" autoLine="0" autoPict="0">
                <anchor moveWithCells="1">
                  <from>
                    <xdr:col>1</xdr:col>
                    <xdr:colOff>685800</xdr:colOff>
                    <xdr:row>77</xdr:row>
                    <xdr:rowOff>0</xdr:rowOff>
                  </from>
                  <to>
                    <xdr:col>2</xdr:col>
                    <xdr:colOff>704850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29" name="Check Box 181">
              <controlPr defaultSize="0" autoFill="0" autoLine="0" autoPict="0">
                <anchor moveWithCells="1">
                  <from>
                    <xdr:col>1</xdr:col>
                    <xdr:colOff>685800</xdr:colOff>
                    <xdr:row>79</xdr:row>
                    <xdr:rowOff>0</xdr:rowOff>
                  </from>
                  <to>
                    <xdr:col>2</xdr:col>
                    <xdr:colOff>704850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30" name="Check Box 182">
              <controlPr defaultSize="0" autoFill="0" autoLine="0" autoPict="0">
                <anchor moveWithCells="1">
                  <from>
                    <xdr:col>1</xdr:col>
                    <xdr:colOff>685800</xdr:colOff>
                    <xdr:row>78</xdr:row>
                    <xdr:rowOff>0</xdr:rowOff>
                  </from>
                  <to>
                    <xdr:col>2</xdr:col>
                    <xdr:colOff>704850</xdr:colOff>
                    <xdr:row>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31" name="Check Box 183">
              <controlPr defaultSize="0" autoFill="0" autoLine="0" autoPict="0">
                <anchor moveWithCells="1">
                  <from>
                    <xdr:col>1</xdr:col>
                    <xdr:colOff>685800</xdr:colOff>
                    <xdr:row>80</xdr:row>
                    <xdr:rowOff>0</xdr:rowOff>
                  </from>
                  <to>
                    <xdr:col>2</xdr:col>
                    <xdr:colOff>704850</xdr:colOff>
                    <xdr:row>80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32" name="Check Box 184">
              <controlPr defaultSize="0" autoFill="0" autoLine="0" autoPict="0">
                <anchor moveWithCells="1">
                  <from>
                    <xdr:col>1</xdr:col>
                    <xdr:colOff>685800</xdr:colOff>
                    <xdr:row>81</xdr:row>
                    <xdr:rowOff>0</xdr:rowOff>
                  </from>
                  <to>
                    <xdr:col>2</xdr:col>
                    <xdr:colOff>704850</xdr:colOff>
                    <xdr:row>81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33" name="Check Box 185">
              <controlPr defaultSize="0" autoFill="0" autoLine="0" autoPict="0">
                <anchor moveWithCells="1">
                  <from>
                    <xdr:col>1</xdr:col>
                    <xdr:colOff>685800</xdr:colOff>
                    <xdr:row>81</xdr:row>
                    <xdr:rowOff>0</xdr:rowOff>
                  </from>
                  <to>
                    <xdr:col>2</xdr:col>
                    <xdr:colOff>704850</xdr:colOff>
                    <xdr:row>81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34" name="Check Box 186">
              <controlPr defaultSize="0" autoFill="0" autoLine="0" autoPict="0">
                <anchor moveWithCells="1">
                  <from>
                    <xdr:col>1</xdr:col>
                    <xdr:colOff>685800</xdr:colOff>
                    <xdr:row>82</xdr:row>
                    <xdr:rowOff>0</xdr:rowOff>
                  </from>
                  <to>
                    <xdr:col>2</xdr:col>
                    <xdr:colOff>704850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35" name="Check Box 187">
              <controlPr defaultSize="0" autoFill="0" autoLine="0" autoPict="0">
                <anchor moveWithCells="1">
                  <from>
                    <xdr:col>1</xdr:col>
                    <xdr:colOff>685800</xdr:colOff>
                    <xdr:row>82</xdr:row>
                    <xdr:rowOff>0</xdr:rowOff>
                  </from>
                  <to>
                    <xdr:col>2</xdr:col>
                    <xdr:colOff>704850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36" name="Check Box 188">
              <controlPr defaultSize="0" autoFill="0" autoLine="0" autoPict="0">
                <anchor moveWithCells="1">
                  <from>
                    <xdr:col>1</xdr:col>
                    <xdr:colOff>685800</xdr:colOff>
                    <xdr:row>16</xdr:row>
                    <xdr:rowOff>0</xdr:rowOff>
                  </from>
                  <to>
                    <xdr:col>2</xdr:col>
                    <xdr:colOff>704850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37" name="Check Box 189">
              <controlPr defaultSize="0" autoFill="0" autoLine="0" autoPict="0">
                <anchor moveWithCells="1">
                  <from>
                    <xdr:col>1</xdr:col>
                    <xdr:colOff>685800</xdr:colOff>
                    <xdr:row>16</xdr:row>
                    <xdr:rowOff>0</xdr:rowOff>
                  </from>
                  <to>
                    <xdr:col>2</xdr:col>
                    <xdr:colOff>704850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38" name="Check Box 191">
              <controlPr defaultSize="0" autoFill="0" autoLine="0" autoPict="0">
                <anchor moveWithCells="1">
                  <from>
                    <xdr:col>1</xdr:col>
                    <xdr:colOff>685800</xdr:colOff>
                    <xdr:row>19</xdr:row>
                    <xdr:rowOff>0</xdr:rowOff>
                  </from>
                  <to>
                    <xdr:col>2</xdr:col>
                    <xdr:colOff>704850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39" name="Check Box 192">
              <controlPr defaultSize="0" autoFill="0" autoLine="0" autoPict="0">
                <anchor moveWithCells="1">
                  <from>
                    <xdr:col>1</xdr:col>
                    <xdr:colOff>685800</xdr:colOff>
                    <xdr:row>23</xdr:row>
                    <xdr:rowOff>0</xdr:rowOff>
                  </from>
                  <to>
                    <xdr:col>2</xdr:col>
                    <xdr:colOff>704850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40" name="Check Box 193">
              <controlPr defaultSize="0" autoFill="0" autoLine="0" autoPict="0">
                <anchor moveWithCells="1">
                  <from>
                    <xdr:col>1</xdr:col>
                    <xdr:colOff>685800</xdr:colOff>
                    <xdr:row>27</xdr:row>
                    <xdr:rowOff>0</xdr:rowOff>
                  </from>
                  <to>
                    <xdr:col>2</xdr:col>
                    <xdr:colOff>704850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41" name="Check Box 194">
              <controlPr defaultSize="0" autoFill="0" autoLine="0" autoPict="0">
                <anchor moveWithCells="1">
                  <from>
                    <xdr:col>1</xdr:col>
                    <xdr:colOff>685800</xdr:colOff>
                    <xdr:row>27</xdr:row>
                    <xdr:rowOff>0</xdr:rowOff>
                  </from>
                  <to>
                    <xdr:col>2</xdr:col>
                    <xdr:colOff>704850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42" name="Check Box 195">
              <controlPr defaultSize="0" autoFill="0" autoLine="0" autoPict="0">
                <anchor moveWithCells="1">
                  <from>
                    <xdr:col>1</xdr:col>
                    <xdr:colOff>685800</xdr:colOff>
                    <xdr:row>28</xdr:row>
                    <xdr:rowOff>0</xdr:rowOff>
                  </from>
                  <to>
                    <xdr:col>2</xdr:col>
                    <xdr:colOff>704850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43" name="Check Box 196">
              <controlPr defaultSize="0" autoFill="0" autoLine="0" autoPict="0">
                <anchor moveWithCells="1">
                  <from>
                    <xdr:col>1</xdr:col>
                    <xdr:colOff>685800</xdr:colOff>
                    <xdr:row>28</xdr:row>
                    <xdr:rowOff>0</xdr:rowOff>
                  </from>
                  <to>
                    <xdr:col>2</xdr:col>
                    <xdr:colOff>704850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44" name="Check Box 197">
              <controlPr defaultSize="0" autoFill="0" autoLine="0" autoPict="0">
                <anchor moveWithCells="1">
                  <from>
                    <xdr:col>1</xdr:col>
                    <xdr:colOff>685800</xdr:colOff>
                    <xdr:row>47</xdr:row>
                    <xdr:rowOff>0</xdr:rowOff>
                  </from>
                  <to>
                    <xdr:col>2</xdr:col>
                    <xdr:colOff>704850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45" name="Check Box 198">
              <controlPr defaultSize="0" autoFill="0" autoLine="0" autoPict="0">
                <anchor moveWithCells="1">
                  <from>
                    <xdr:col>1</xdr:col>
                    <xdr:colOff>685800</xdr:colOff>
                    <xdr:row>47</xdr:row>
                    <xdr:rowOff>0</xdr:rowOff>
                  </from>
                  <to>
                    <xdr:col>2</xdr:col>
                    <xdr:colOff>704850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46" name="Check Box 199">
              <controlPr defaultSize="0" autoFill="0" autoLine="0" autoPict="0">
                <anchor moveWithCells="1">
                  <from>
                    <xdr:col>1</xdr:col>
                    <xdr:colOff>685800</xdr:colOff>
                    <xdr:row>47</xdr:row>
                    <xdr:rowOff>0</xdr:rowOff>
                  </from>
                  <to>
                    <xdr:col>2</xdr:col>
                    <xdr:colOff>704850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47" name="Check Box 200">
              <controlPr defaultSize="0" autoFill="0" autoLine="0" autoPict="0">
                <anchor moveWithCells="1">
                  <from>
                    <xdr:col>1</xdr:col>
                    <xdr:colOff>685800</xdr:colOff>
                    <xdr:row>47</xdr:row>
                    <xdr:rowOff>0</xdr:rowOff>
                  </from>
                  <to>
                    <xdr:col>2</xdr:col>
                    <xdr:colOff>704850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48" name="Check Box 201">
              <controlPr defaultSize="0" autoFill="0" autoLine="0" autoPict="0">
                <anchor moveWithCells="1">
                  <from>
                    <xdr:col>1</xdr:col>
                    <xdr:colOff>685800</xdr:colOff>
                    <xdr:row>58</xdr:row>
                    <xdr:rowOff>0</xdr:rowOff>
                  </from>
                  <to>
                    <xdr:col>2</xdr:col>
                    <xdr:colOff>704850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49" name="Check Box 202">
              <controlPr defaultSize="0" autoFill="0" autoLine="0" autoPict="0">
                <anchor moveWithCells="1">
                  <from>
                    <xdr:col>1</xdr:col>
                    <xdr:colOff>685800</xdr:colOff>
                    <xdr:row>58</xdr:row>
                    <xdr:rowOff>0</xdr:rowOff>
                  </from>
                  <to>
                    <xdr:col>2</xdr:col>
                    <xdr:colOff>704850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50" name="Check Box 203">
              <controlPr defaultSize="0" autoFill="0" autoLine="0" autoPict="0">
                <anchor moveWithCells="1">
                  <from>
                    <xdr:col>1</xdr:col>
                    <xdr:colOff>685800</xdr:colOff>
                    <xdr:row>62</xdr:row>
                    <xdr:rowOff>0</xdr:rowOff>
                  </from>
                  <to>
                    <xdr:col>2</xdr:col>
                    <xdr:colOff>704850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51" name="Check Box 204">
              <controlPr defaultSize="0" autoFill="0" autoLine="0" autoPict="0">
                <anchor moveWithCells="1">
                  <from>
                    <xdr:col>1</xdr:col>
                    <xdr:colOff>685800</xdr:colOff>
                    <xdr:row>62</xdr:row>
                    <xdr:rowOff>0</xdr:rowOff>
                  </from>
                  <to>
                    <xdr:col>2</xdr:col>
                    <xdr:colOff>704850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52" name="Check Box 206">
              <controlPr defaultSize="0" autoFill="0" autoLine="0" autoPict="0">
                <anchor moveWithCells="1">
                  <from>
                    <xdr:col>1</xdr:col>
                    <xdr:colOff>685800</xdr:colOff>
                    <xdr:row>83</xdr:row>
                    <xdr:rowOff>0</xdr:rowOff>
                  </from>
                  <to>
                    <xdr:col>2</xdr:col>
                    <xdr:colOff>704850</xdr:colOff>
                    <xdr:row>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53" name="Check Box 207">
              <controlPr defaultSize="0" autoFill="0" autoLine="0" autoPict="0">
                <anchor moveWithCells="1">
                  <from>
                    <xdr:col>1</xdr:col>
                    <xdr:colOff>685800</xdr:colOff>
                    <xdr:row>84</xdr:row>
                    <xdr:rowOff>0</xdr:rowOff>
                  </from>
                  <to>
                    <xdr:col>2</xdr:col>
                    <xdr:colOff>704850</xdr:colOff>
                    <xdr:row>84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54" name="Check Box 208">
              <controlPr defaultSize="0" autoFill="0" autoLine="0" autoPict="0">
                <anchor moveWithCells="1">
                  <from>
                    <xdr:col>1</xdr:col>
                    <xdr:colOff>685800</xdr:colOff>
                    <xdr:row>85</xdr:row>
                    <xdr:rowOff>0</xdr:rowOff>
                  </from>
                  <to>
                    <xdr:col>2</xdr:col>
                    <xdr:colOff>704850</xdr:colOff>
                    <xdr:row>85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55" name="Check Box 209">
              <controlPr defaultSize="0" autoFill="0" autoLine="0" autoPict="0">
                <anchor moveWithCells="1">
                  <from>
                    <xdr:col>1</xdr:col>
                    <xdr:colOff>685800</xdr:colOff>
                    <xdr:row>86</xdr:row>
                    <xdr:rowOff>0</xdr:rowOff>
                  </from>
                  <to>
                    <xdr:col>2</xdr:col>
                    <xdr:colOff>704850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56" name="Check Box 210">
              <controlPr defaultSize="0" autoFill="0" autoLine="0" autoPict="0">
                <anchor moveWithCells="1">
                  <from>
                    <xdr:col>1</xdr:col>
                    <xdr:colOff>685800</xdr:colOff>
                    <xdr:row>87</xdr:row>
                    <xdr:rowOff>0</xdr:rowOff>
                  </from>
                  <to>
                    <xdr:col>2</xdr:col>
                    <xdr:colOff>704850</xdr:colOff>
                    <xdr:row>87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57" name="Check Box 211">
              <controlPr defaultSize="0" autoFill="0" autoLine="0" autoPict="0">
                <anchor moveWithCells="1">
                  <from>
                    <xdr:col>1</xdr:col>
                    <xdr:colOff>685800</xdr:colOff>
                    <xdr:row>88</xdr:row>
                    <xdr:rowOff>0</xdr:rowOff>
                  </from>
                  <to>
                    <xdr:col>2</xdr:col>
                    <xdr:colOff>704850</xdr:colOff>
                    <xdr:row>88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58" name="Check Box 212">
              <controlPr defaultSize="0" autoFill="0" autoLine="0" autoPict="0">
                <anchor moveWithCells="1">
                  <from>
                    <xdr:col>1</xdr:col>
                    <xdr:colOff>685800</xdr:colOff>
                    <xdr:row>3</xdr:row>
                    <xdr:rowOff>0</xdr:rowOff>
                  </from>
                  <to>
                    <xdr:col>2</xdr:col>
                    <xdr:colOff>704850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159" name="Check Box 213">
              <controlPr defaultSize="0" autoFill="0" autoLine="0" autoPict="0">
                <anchor moveWithCells="1">
                  <from>
                    <xdr:col>1</xdr:col>
                    <xdr:colOff>685800</xdr:colOff>
                    <xdr:row>83</xdr:row>
                    <xdr:rowOff>0</xdr:rowOff>
                  </from>
                  <to>
                    <xdr:col>2</xdr:col>
                    <xdr:colOff>704850</xdr:colOff>
                    <xdr:row>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160" name="Check Box 214">
              <controlPr defaultSize="0" autoFill="0" autoLine="0" autoPict="0">
                <anchor moveWithCells="1">
                  <from>
                    <xdr:col>1</xdr:col>
                    <xdr:colOff>685800</xdr:colOff>
                    <xdr:row>83</xdr:row>
                    <xdr:rowOff>0</xdr:rowOff>
                  </from>
                  <to>
                    <xdr:col>2</xdr:col>
                    <xdr:colOff>704850</xdr:colOff>
                    <xdr:row>83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161" name="Check Box 215">
              <controlPr defaultSize="0" autoFill="0" autoLine="0" autoPict="0">
                <anchor moveWithCells="1">
                  <from>
                    <xdr:col>1</xdr:col>
                    <xdr:colOff>685800</xdr:colOff>
                    <xdr:row>84</xdr:row>
                    <xdr:rowOff>0</xdr:rowOff>
                  </from>
                  <to>
                    <xdr:col>2</xdr:col>
                    <xdr:colOff>704850</xdr:colOff>
                    <xdr:row>84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162" name="Check Box 216">
              <controlPr defaultSize="0" autoFill="0" autoLine="0" autoPict="0">
                <anchor moveWithCells="1">
                  <from>
                    <xdr:col>1</xdr:col>
                    <xdr:colOff>685800</xdr:colOff>
                    <xdr:row>84</xdr:row>
                    <xdr:rowOff>0</xdr:rowOff>
                  </from>
                  <to>
                    <xdr:col>2</xdr:col>
                    <xdr:colOff>704850</xdr:colOff>
                    <xdr:row>84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163" name="Check Box 217">
              <controlPr defaultSize="0" autoFill="0" autoLine="0" autoPict="0">
                <anchor moveWithCells="1">
                  <from>
                    <xdr:col>1</xdr:col>
                    <xdr:colOff>685800</xdr:colOff>
                    <xdr:row>85</xdr:row>
                    <xdr:rowOff>0</xdr:rowOff>
                  </from>
                  <to>
                    <xdr:col>2</xdr:col>
                    <xdr:colOff>704850</xdr:colOff>
                    <xdr:row>85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164" name="Check Box 218">
              <controlPr defaultSize="0" autoFill="0" autoLine="0" autoPict="0">
                <anchor moveWithCells="1">
                  <from>
                    <xdr:col>1</xdr:col>
                    <xdr:colOff>685800</xdr:colOff>
                    <xdr:row>85</xdr:row>
                    <xdr:rowOff>0</xdr:rowOff>
                  </from>
                  <to>
                    <xdr:col>2</xdr:col>
                    <xdr:colOff>704850</xdr:colOff>
                    <xdr:row>85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165" name="Check Box 219">
              <controlPr defaultSize="0" autoFill="0" autoLine="0" autoPict="0">
                <anchor moveWithCells="1">
                  <from>
                    <xdr:col>1</xdr:col>
                    <xdr:colOff>685800</xdr:colOff>
                    <xdr:row>86</xdr:row>
                    <xdr:rowOff>0</xdr:rowOff>
                  </from>
                  <to>
                    <xdr:col>2</xdr:col>
                    <xdr:colOff>704850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166" name="Check Box 220">
              <controlPr defaultSize="0" autoFill="0" autoLine="0" autoPict="0">
                <anchor moveWithCells="1">
                  <from>
                    <xdr:col>1</xdr:col>
                    <xdr:colOff>685800</xdr:colOff>
                    <xdr:row>86</xdr:row>
                    <xdr:rowOff>0</xdr:rowOff>
                  </from>
                  <to>
                    <xdr:col>2</xdr:col>
                    <xdr:colOff>704850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167" name="Check Box 221">
              <controlPr defaultSize="0" autoFill="0" autoLine="0" autoPict="0">
                <anchor moveWithCells="1">
                  <from>
                    <xdr:col>1</xdr:col>
                    <xdr:colOff>685800</xdr:colOff>
                    <xdr:row>87</xdr:row>
                    <xdr:rowOff>0</xdr:rowOff>
                  </from>
                  <to>
                    <xdr:col>2</xdr:col>
                    <xdr:colOff>704850</xdr:colOff>
                    <xdr:row>87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168" name="Check Box 222">
              <controlPr defaultSize="0" autoFill="0" autoLine="0" autoPict="0">
                <anchor moveWithCells="1">
                  <from>
                    <xdr:col>1</xdr:col>
                    <xdr:colOff>685800</xdr:colOff>
                    <xdr:row>87</xdr:row>
                    <xdr:rowOff>0</xdr:rowOff>
                  </from>
                  <to>
                    <xdr:col>2</xdr:col>
                    <xdr:colOff>704850</xdr:colOff>
                    <xdr:row>87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169" name="Check Box 223">
              <controlPr defaultSize="0" autoFill="0" autoLine="0" autoPict="0">
                <anchor moveWithCells="1">
                  <from>
                    <xdr:col>1</xdr:col>
                    <xdr:colOff>685800</xdr:colOff>
                    <xdr:row>88</xdr:row>
                    <xdr:rowOff>0</xdr:rowOff>
                  </from>
                  <to>
                    <xdr:col>2</xdr:col>
                    <xdr:colOff>704850</xdr:colOff>
                    <xdr:row>88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170" name="Check Box 224">
              <controlPr defaultSize="0" autoFill="0" autoLine="0" autoPict="0">
                <anchor moveWithCells="1">
                  <from>
                    <xdr:col>1</xdr:col>
                    <xdr:colOff>685800</xdr:colOff>
                    <xdr:row>88</xdr:row>
                    <xdr:rowOff>0</xdr:rowOff>
                  </from>
                  <to>
                    <xdr:col>2</xdr:col>
                    <xdr:colOff>704850</xdr:colOff>
                    <xdr:row>88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171" name="Check Box 225">
              <controlPr defaultSize="0" autoFill="0" autoLine="0" autoPict="0">
                <anchor moveWithCells="1">
                  <from>
                    <xdr:col>1</xdr:col>
                    <xdr:colOff>685800</xdr:colOff>
                    <xdr:row>42</xdr:row>
                    <xdr:rowOff>0</xdr:rowOff>
                  </from>
                  <to>
                    <xdr:col>2</xdr:col>
                    <xdr:colOff>704850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172" name="Check Box 226">
              <controlPr defaultSize="0" autoFill="0" autoLine="0" autoPict="0">
                <anchor moveWithCells="1">
                  <from>
                    <xdr:col>1</xdr:col>
                    <xdr:colOff>685800</xdr:colOff>
                    <xdr:row>42</xdr:row>
                    <xdr:rowOff>0</xdr:rowOff>
                  </from>
                  <to>
                    <xdr:col>2</xdr:col>
                    <xdr:colOff>704850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173" name="Check Box 227">
              <controlPr defaultSize="0" autoFill="0" autoLine="0" autoPict="0">
                <anchor moveWithCells="1">
                  <from>
                    <xdr:col>1</xdr:col>
                    <xdr:colOff>685800</xdr:colOff>
                    <xdr:row>84</xdr:row>
                    <xdr:rowOff>0</xdr:rowOff>
                  </from>
                  <to>
                    <xdr:col>2</xdr:col>
                    <xdr:colOff>704850</xdr:colOff>
                    <xdr:row>84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174" name="Check Box 228">
              <controlPr defaultSize="0" autoFill="0" autoLine="0" autoPict="0">
                <anchor moveWithCells="1">
                  <from>
                    <xdr:col>1</xdr:col>
                    <xdr:colOff>685800</xdr:colOff>
                    <xdr:row>84</xdr:row>
                    <xdr:rowOff>0</xdr:rowOff>
                  </from>
                  <to>
                    <xdr:col>2</xdr:col>
                    <xdr:colOff>704850</xdr:colOff>
                    <xdr:row>84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175" name="Check Box 229">
              <controlPr defaultSize="0" autoFill="0" autoLine="0" autoPict="0">
                <anchor moveWithCells="1">
                  <from>
                    <xdr:col>1</xdr:col>
                    <xdr:colOff>685800</xdr:colOff>
                    <xdr:row>84</xdr:row>
                    <xdr:rowOff>0</xdr:rowOff>
                  </from>
                  <to>
                    <xdr:col>2</xdr:col>
                    <xdr:colOff>704850</xdr:colOff>
                    <xdr:row>84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176" name="Check Box 231">
              <controlPr defaultSize="0" autoFill="0" autoLine="0" autoPict="0">
                <anchor moveWithCells="1">
                  <from>
                    <xdr:col>1</xdr:col>
                    <xdr:colOff>685800</xdr:colOff>
                    <xdr:row>24</xdr:row>
                    <xdr:rowOff>0</xdr:rowOff>
                  </from>
                  <to>
                    <xdr:col>2</xdr:col>
                    <xdr:colOff>704850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177" name="Check Box 232">
              <controlPr defaultSize="0" autoFill="0" autoLine="0" autoPict="0">
                <anchor moveWithCells="1">
                  <from>
                    <xdr:col>1</xdr:col>
                    <xdr:colOff>685800</xdr:colOff>
                    <xdr:row>32</xdr:row>
                    <xdr:rowOff>0</xdr:rowOff>
                  </from>
                  <to>
                    <xdr:col>2</xdr:col>
                    <xdr:colOff>704850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178" name="Check Box 233">
              <controlPr defaultSize="0" autoFill="0" autoLine="0" autoPict="0">
                <anchor moveWithCells="1">
                  <from>
                    <xdr:col>1</xdr:col>
                    <xdr:colOff>685800</xdr:colOff>
                    <xdr:row>32</xdr:row>
                    <xdr:rowOff>0</xdr:rowOff>
                  </from>
                  <to>
                    <xdr:col>2</xdr:col>
                    <xdr:colOff>704850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179" name="Check Box 234">
              <controlPr defaultSize="0" autoFill="0" autoLine="0" autoPict="0">
                <anchor moveWithCells="1">
                  <from>
                    <xdr:col>1</xdr:col>
                    <xdr:colOff>685800</xdr:colOff>
                    <xdr:row>33</xdr:row>
                    <xdr:rowOff>0</xdr:rowOff>
                  </from>
                  <to>
                    <xdr:col>2</xdr:col>
                    <xdr:colOff>704850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180" name="Check Box 235">
              <controlPr defaultSize="0" autoFill="0" autoLine="0" autoPict="0">
                <anchor moveWithCells="1">
                  <from>
                    <xdr:col>1</xdr:col>
                    <xdr:colOff>685800</xdr:colOff>
                    <xdr:row>33</xdr:row>
                    <xdr:rowOff>0</xdr:rowOff>
                  </from>
                  <to>
                    <xdr:col>2</xdr:col>
                    <xdr:colOff>704850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181" name="Check Box 236">
              <controlPr defaultSize="0" autoFill="0" autoLine="0" autoPict="0">
                <anchor moveWithCells="1">
                  <from>
                    <xdr:col>1</xdr:col>
                    <xdr:colOff>685800</xdr:colOff>
                    <xdr:row>43</xdr:row>
                    <xdr:rowOff>0</xdr:rowOff>
                  </from>
                  <to>
                    <xdr:col>2</xdr:col>
                    <xdr:colOff>704850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182" name="Check Box 238">
              <controlPr defaultSize="0" autoFill="0" autoLine="0" autoPict="0">
                <anchor moveWithCells="1">
                  <from>
                    <xdr:col>1</xdr:col>
                    <xdr:colOff>685800</xdr:colOff>
                    <xdr:row>40</xdr:row>
                    <xdr:rowOff>0</xdr:rowOff>
                  </from>
                  <to>
                    <xdr:col>2</xdr:col>
                    <xdr:colOff>704850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183" name="Check Box 240">
              <controlPr defaultSize="0" autoFill="0" autoLine="0" autoPict="0">
                <anchor moveWithCells="1">
                  <from>
                    <xdr:col>1</xdr:col>
                    <xdr:colOff>685800</xdr:colOff>
                    <xdr:row>41</xdr:row>
                    <xdr:rowOff>0</xdr:rowOff>
                  </from>
                  <to>
                    <xdr:col>2</xdr:col>
                    <xdr:colOff>704850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184" name="Check Box 242">
              <controlPr defaultSize="0" autoFill="0" autoLine="0" autoPict="0">
                <anchor moveWithCells="1">
                  <from>
                    <xdr:col>1</xdr:col>
                    <xdr:colOff>685800</xdr:colOff>
                    <xdr:row>42</xdr:row>
                    <xdr:rowOff>0</xdr:rowOff>
                  </from>
                  <to>
                    <xdr:col>2</xdr:col>
                    <xdr:colOff>704850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185" name="Check Box 244">
              <controlPr defaultSize="0" autoFill="0" autoLine="0" autoPict="0">
                <anchor moveWithCells="1">
                  <from>
                    <xdr:col>1</xdr:col>
                    <xdr:colOff>685800</xdr:colOff>
                    <xdr:row>53</xdr:row>
                    <xdr:rowOff>0</xdr:rowOff>
                  </from>
                  <to>
                    <xdr:col>2</xdr:col>
                    <xdr:colOff>704850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186" name="Check Box 245">
              <controlPr defaultSize="0" autoFill="0" autoLine="0" autoPict="0">
                <anchor moveWithCells="1">
                  <from>
                    <xdr:col>1</xdr:col>
                    <xdr:colOff>685800</xdr:colOff>
                    <xdr:row>53</xdr:row>
                    <xdr:rowOff>0</xdr:rowOff>
                  </from>
                  <to>
                    <xdr:col>2</xdr:col>
                    <xdr:colOff>704850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187" name="Check Box 250">
              <controlPr defaultSize="0" autoFill="0" autoLine="0" autoPict="0">
                <anchor moveWithCells="1">
                  <from>
                    <xdr:col>1</xdr:col>
                    <xdr:colOff>685800</xdr:colOff>
                    <xdr:row>63</xdr:row>
                    <xdr:rowOff>0</xdr:rowOff>
                  </from>
                  <to>
                    <xdr:col>2</xdr:col>
                    <xdr:colOff>704850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188" name="Check Box 251">
              <controlPr defaultSize="0" autoFill="0" autoLine="0" autoPict="0">
                <anchor moveWithCells="1">
                  <from>
                    <xdr:col>1</xdr:col>
                    <xdr:colOff>685800</xdr:colOff>
                    <xdr:row>63</xdr:row>
                    <xdr:rowOff>0</xdr:rowOff>
                  </from>
                  <to>
                    <xdr:col>2</xdr:col>
                    <xdr:colOff>704850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189" name="Check Box 252">
              <controlPr defaultSize="0" autoFill="0" autoLine="0" autoPict="0">
                <anchor moveWithCells="1">
                  <from>
                    <xdr:col>1</xdr:col>
                    <xdr:colOff>685800</xdr:colOff>
                    <xdr:row>64</xdr:row>
                    <xdr:rowOff>0</xdr:rowOff>
                  </from>
                  <to>
                    <xdr:col>2</xdr:col>
                    <xdr:colOff>704850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190" name="Check Box 253">
              <controlPr defaultSize="0" autoFill="0" autoLine="0" autoPict="0">
                <anchor moveWithCells="1">
                  <from>
                    <xdr:col>1</xdr:col>
                    <xdr:colOff>685800</xdr:colOff>
                    <xdr:row>64</xdr:row>
                    <xdr:rowOff>0</xdr:rowOff>
                  </from>
                  <to>
                    <xdr:col>2</xdr:col>
                    <xdr:colOff>704850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191" name="Check Box 254">
              <controlPr defaultSize="0" autoFill="0" autoLine="0" autoPict="0">
                <anchor moveWithCells="1">
                  <from>
                    <xdr:col>1</xdr:col>
                    <xdr:colOff>685800</xdr:colOff>
                    <xdr:row>65</xdr:row>
                    <xdr:rowOff>0</xdr:rowOff>
                  </from>
                  <to>
                    <xdr:col>2</xdr:col>
                    <xdr:colOff>704850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192" name="Check Box 255">
              <controlPr defaultSize="0" autoFill="0" autoLine="0" autoPict="0">
                <anchor moveWithCells="1">
                  <from>
                    <xdr:col>1</xdr:col>
                    <xdr:colOff>685800</xdr:colOff>
                    <xdr:row>65</xdr:row>
                    <xdr:rowOff>0</xdr:rowOff>
                  </from>
                  <to>
                    <xdr:col>2</xdr:col>
                    <xdr:colOff>704850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193" name="Check Box 258">
              <controlPr defaultSize="0" autoFill="0" autoLine="0" autoPict="0">
                <anchor moveWithCells="1">
                  <from>
                    <xdr:col>1</xdr:col>
                    <xdr:colOff>685800</xdr:colOff>
                    <xdr:row>73</xdr:row>
                    <xdr:rowOff>0</xdr:rowOff>
                  </from>
                  <to>
                    <xdr:col>2</xdr:col>
                    <xdr:colOff>704850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194" name="Check Box 260">
              <controlPr defaultSize="0" autoFill="0" autoLine="0" autoPict="0">
                <anchor moveWithCells="1">
                  <from>
                    <xdr:col>1</xdr:col>
                    <xdr:colOff>685800</xdr:colOff>
                    <xdr:row>74</xdr:row>
                    <xdr:rowOff>0</xdr:rowOff>
                  </from>
                  <to>
                    <xdr:col>2</xdr:col>
                    <xdr:colOff>704850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195" name="Check Box 262">
              <controlPr defaultSize="0" autoFill="0" autoLine="0" autoPict="0">
                <anchor moveWithCells="1">
                  <from>
                    <xdr:col>1</xdr:col>
                    <xdr:colOff>685800</xdr:colOff>
                    <xdr:row>75</xdr:row>
                    <xdr:rowOff>0</xdr:rowOff>
                  </from>
                  <to>
                    <xdr:col>2</xdr:col>
                    <xdr:colOff>704850</xdr:colOff>
                    <xdr:row>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196" name="Check Box 264">
              <controlPr defaultSize="0" autoFill="0" autoLine="0" autoPict="0">
                <anchor moveWithCells="1">
                  <from>
                    <xdr:col>1</xdr:col>
                    <xdr:colOff>685800</xdr:colOff>
                    <xdr:row>76</xdr:row>
                    <xdr:rowOff>0</xdr:rowOff>
                  </from>
                  <to>
                    <xdr:col>2</xdr:col>
                    <xdr:colOff>704850</xdr:colOff>
                    <xdr:row>76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197" name="Check Box 266">
              <controlPr defaultSize="0" autoFill="0" autoLine="0" autoPict="0">
                <anchor moveWithCells="1">
                  <from>
                    <xdr:col>1</xdr:col>
                    <xdr:colOff>685800</xdr:colOff>
                    <xdr:row>77</xdr:row>
                    <xdr:rowOff>0</xdr:rowOff>
                  </from>
                  <to>
                    <xdr:col>2</xdr:col>
                    <xdr:colOff>704850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198" name="Check Box 278">
              <controlPr defaultSize="0" autoFill="0" autoLine="0" autoPict="0">
                <anchor moveWithCells="1">
                  <from>
                    <xdr:col>1</xdr:col>
                    <xdr:colOff>685800</xdr:colOff>
                    <xdr:row>11</xdr:row>
                    <xdr:rowOff>0</xdr:rowOff>
                  </from>
                  <to>
                    <xdr:col>2</xdr:col>
                    <xdr:colOff>704850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199" name="Check Box 279">
              <controlPr defaultSize="0" autoFill="0" autoLine="0" autoPict="0">
                <anchor moveWithCells="1">
                  <from>
                    <xdr:col>1</xdr:col>
                    <xdr:colOff>685800</xdr:colOff>
                    <xdr:row>12</xdr:row>
                    <xdr:rowOff>0</xdr:rowOff>
                  </from>
                  <to>
                    <xdr:col>2</xdr:col>
                    <xdr:colOff>704850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97"/>
  <sheetViews>
    <sheetView zoomScaleNormal="100" workbookViewId="0">
      <pane ySplit="3" topLeftCell="A31" activePane="bottomLeft" state="frozen"/>
      <selection pane="bottomLeft" activeCell="G87" sqref="G87"/>
    </sheetView>
  </sheetViews>
  <sheetFormatPr defaultColWidth="9" defaultRowHeight="15.75"/>
  <cols>
    <col min="1" max="1" width="51.875" style="5" customWidth="1"/>
    <col min="2" max="3" width="4.625" style="5" customWidth="1"/>
    <col min="4" max="4" width="9.875" style="5" customWidth="1"/>
    <col min="5" max="6" width="4.625" style="5" customWidth="1"/>
    <col min="7" max="7" width="47" style="5" customWidth="1"/>
    <col min="8" max="19" width="4.625" style="5" customWidth="1"/>
    <col min="20" max="20" width="9" style="15"/>
    <col min="21" max="16384" width="9" style="5"/>
  </cols>
  <sheetData>
    <row r="1" spans="1:24" ht="33">
      <c r="A1" s="7"/>
      <c r="B1" s="8"/>
      <c r="C1" s="9"/>
      <c r="D1" s="31"/>
      <c r="E1" s="9"/>
      <c r="F1" s="10"/>
      <c r="G1" s="11" t="s">
        <v>2623</v>
      </c>
      <c r="H1" s="23"/>
      <c r="I1" s="24"/>
      <c r="J1" s="23"/>
      <c r="K1" s="25"/>
      <c r="L1" s="23"/>
      <c r="M1" s="26"/>
      <c r="N1" s="25"/>
      <c r="O1" s="27"/>
      <c r="P1" s="25"/>
      <c r="Q1" s="25"/>
      <c r="R1" s="25"/>
      <c r="S1" s="25"/>
      <c r="X1" s="35"/>
    </row>
    <row r="2" spans="1:24">
      <c r="A2" s="7"/>
      <c r="B2" s="16"/>
      <c r="C2" s="17"/>
      <c r="D2" s="9"/>
      <c r="E2" s="9"/>
      <c r="G2" s="7"/>
      <c r="H2" s="7"/>
      <c r="I2" s="12"/>
      <c r="J2" s="7"/>
      <c r="K2" s="9"/>
      <c r="L2" s="7" t="s">
        <v>4</v>
      </c>
      <c r="M2" s="13"/>
      <c r="N2" s="9"/>
      <c r="O2" s="14"/>
      <c r="P2" s="9"/>
      <c r="Q2" s="9"/>
      <c r="R2" s="9"/>
      <c r="S2" s="9"/>
    </row>
    <row r="3" spans="1:24" s="7" customFormat="1" ht="14.25">
      <c r="A3" s="18" t="s">
        <v>24</v>
      </c>
      <c r="B3" s="19" t="s">
        <v>5</v>
      </c>
      <c r="C3" s="19" t="s">
        <v>22</v>
      </c>
      <c r="D3" s="19" t="s">
        <v>1</v>
      </c>
      <c r="E3" s="19" t="s">
        <v>6</v>
      </c>
      <c r="F3" s="19" t="s">
        <v>23</v>
      </c>
      <c r="G3" s="19" t="s">
        <v>7</v>
      </c>
      <c r="H3" s="19" t="s">
        <v>8</v>
      </c>
      <c r="I3" s="20" t="s">
        <v>9</v>
      </c>
      <c r="J3" s="21" t="s">
        <v>10</v>
      </c>
      <c r="K3" s="21" t="s">
        <v>6</v>
      </c>
      <c r="L3" s="21" t="s">
        <v>11</v>
      </c>
      <c r="M3" s="22" t="s">
        <v>12</v>
      </c>
      <c r="N3" s="22" t="s">
        <v>13</v>
      </c>
      <c r="O3" s="22" t="s">
        <v>14</v>
      </c>
      <c r="P3" s="21" t="s">
        <v>15</v>
      </c>
      <c r="Q3" s="21" t="s">
        <v>16</v>
      </c>
      <c r="R3" s="21" t="s">
        <v>17</v>
      </c>
      <c r="S3" s="19" t="s">
        <v>105</v>
      </c>
    </row>
    <row r="4" spans="1:24" s="7" customFormat="1">
      <c r="A4" s="69" t="s">
        <v>2978</v>
      </c>
      <c r="B4" s="113">
        <v>46173</v>
      </c>
      <c r="C4" s="114" t="s">
        <v>2798</v>
      </c>
      <c r="D4" s="114" t="s">
        <v>2795</v>
      </c>
      <c r="E4" s="114" t="s">
        <v>259</v>
      </c>
      <c r="F4" s="114" t="s">
        <v>2799</v>
      </c>
      <c r="G4" s="118" t="s">
        <v>2948</v>
      </c>
      <c r="H4" s="114"/>
      <c r="I4" s="114"/>
      <c r="J4" s="114" t="s">
        <v>2632</v>
      </c>
      <c r="K4" s="114">
        <v>8</v>
      </c>
      <c r="L4" s="37">
        <v>24988</v>
      </c>
      <c r="M4" s="114" t="s">
        <v>2800</v>
      </c>
      <c r="N4" s="114"/>
      <c r="O4" s="117">
        <v>46173</v>
      </c>
      <c r="P4" s="114">
        <v>1</v>
      </c>
      <c r="Q4" s="114" t="s">
        <v>2777</v>
      </c>
      <c r="R4" s="114"/>
      <c r="S4" s="7" t="s">
        <v>3055</v>
      </c>
      <c r="T4" s="75"/>
    </row>
    <row r="5" spans="1:24" s="7" customFormat="1">
      <c r="A5" s="69" t="s">
        <v>2979</v>
      </c>
      <c r="B5" s="115">
        <v>46173</v>
      </c>
      <c r="C5" s="116" t="s">
        <v>2890</v>
      </c>
      <c r="D5" s="116" t="s">
        <v>2891</v>
      </c>
      <c r="E5" s="116" t="s">
        <v>259</v>
      </c>
      <c r="F5" s="116" t="s">
        <v>2892</v>
      </c>
      <c r="G5" s="118" t="s">
        <v>2965</v>
      </c>
      <c r="H5" s="116"/>
      <c r="I5" s="106"/>
      <c r="J5" s="114" t="s">
        <v>327</v>
      </c>
      <c r="K5" s="114">
        <v>8</v>
      </c>
      <c r="L5" s="37">
        <v>3672</v>
      </c>
      <c r="M5" s="114" t="s">
        <v>2893</v>
      </c>
      <c r="N5" s="114"/>
      <c r="O5" s="115">
        <v>46173</v>
      </c>
      <c r="P5" s="114">
        <v>1</v>
      </c>
      <c r="Q5" s="114" t="s">
        <v>2587</v>
      </c>
      <c r="R5" s="114"/>
      <c r="S5" s="7" t="s">
        <v>3055</v>
      </c>
    </row>
    <row r="6" spans="1:24" s="7" customFormat="1">
      <c r="A6" s="69" t="s">
        <v>2980</v>
      </c>
      <c r="B6" s="115">
        <v>46173</v>
      </c>
      <c r="C6" s="116" t="s">
        <v>2875</v>
      </c>
      <c r="D6" s="116" t="s">
        <v>2795</v>
      </c>
      <c r="E6" s="116" t="s">
        <v>326</v>
      </c>
      <c r="F6" s="116" t="s">
        <v>2876</v>
      </c>
      <c r="G6" s="118" t="s">
        <v>2962</v>
      </c>
      <c r="H6" s="116" t="s">
        <v>2877</v>
      </c>
      <c r="I6" s="106">
        <v>2200000</v>
      </c>
      <c r="J6" s="114" t="s">
        <v>2632</v>
      </c>
      <c r="K6" s="114">
        <v>8</v>
      </c>
      <c r="L6" s="37">
        <v>1038240</v>
      </c>
      <c r="M6" s="114" t="s">
        <v>2878</v>
      </c>
      <c r="N6" s="114"/>
      <c r="O6" s="115">
        <v>46173</v>
      </c>
      <c r="P6" s="114">
        <v>4</v>
      </c>
      <c r="Q6" s="114" t="s">
        <v>2725</v>
      </c>
      <c r="R6" s="114"/>
      <c r="S6" s="7" t="s">
        <v>3055</v>
      </c>
    </row>
    <row r="7" spans="1:24" s="7" customFormat="1">
      <c r="A7" s="69" t="s">
        <v>2981</v>
      </c>
      <c r="B7" s="115">
        <v>46173</v>
      </c>
      <c r="C7" s="114" t="s">
        <v>2794</v>
      </c>
      <c r="D7" s="114" t="s">
        <v>2795</v>
      </c>
      <c r="E7" s="114" t="s">
        <v>326</v>
      </c>
      <c r="F7" s="114" t="s">
        <v>2796</v>
      </c>
      <c r="G7" s="118" t="s">
        <v>2947</v>
      </c>
      <c r="H7" s="114"/>
      <c r="I7" s="36"/>
      <c r="J7" s="114" t="s">
        <v>2632</v>
      </c>
      <c r="K7" s="114">
        <v>8</v>
      </c>
      <c r="L7" s="37">
        <v>17510</v>
      </c>
      <c r="M7" s="114" t="s">
        <v>2797</v>
      </c>
      <c r="N7" s="114"/>
      <c r="O7" s="113">
        <v>46173</v>
      </c>
      <c r="P7" s="114">
        <v>1</v>
      </c>
      <c r="Q7" s="114" t="s">
        <v>2725</v>
      </c>
      <c r="R7" s="114"/>
      <c r="S7" s="7" t="s">
        <v>3055</v>
      </c>
    </row>
    <row r="8" spans="1:24" s="7" customFormat="1">
      <c r="A8" s="69" t="s">
        <v>2982</v>
      </c>
      <c r="B8" s="115">
        <v>46142</v>
      </c>
      <c r="C8" s="116" t="s">
        <v>2899</v>
      </c>
      <c r="D8" s="116" t="s">
        <v>2784</v>
      </c>
      <c r="E8" s="116" t="s">
        <v>326</v>
      </c>
      <c r="F8" s="116" t="s">
        <v>2900</v>
      </c>
      <c r="G8" s="119" t="s">
        <v>2901</v>
      </c>
      <c r="H8" s="116"/>
      <c r="I8" s="106"/>
      <c r="J8" s="114" t="s">
        <v>328</v>
      </c>
      <c r="K8" s="114">
        <v>24</v>
      </c>
      <c r="L8" s="37">
        <v>410940</v>
      </c>
      <c r="M8" s="114" t="s">
        <v>2902</v>
      </c>
      <c r="N8" s="114"/>
      <c r="O8" s="115">
        <v>46173</v>
      </c>
      <c r="P8" s="114">
        <v>12</v>
      </c>
      <c r="Q8" s="114" t="s">
        <v>2903</v>
      </c>
      <c r="R8" s="114"/>
      <c r="S8" s="7" t="s">
        <v>3055</v>
      </c>
    </row>
    <row r="9" spans="1:24" s="7" customFormat="1">
      <c r="A9" s="73" t="s">
        <v>2983</v>
      </c>
      <c r="B9" s="115">
        <v>46173</v>
      </c>
      <c r="C9" s="114" t="s">
        <v>2791</v>
      </c>
      <c r="D9" s="114" t="s">
        <v>2788</v>
      </c>
      <c r="E9" s="114" t="s">
        <v>259</v>
      </c>
      <c r="F9" s="114" t="s">
        <v>2792</v>
      </c>
      <c r="G9" s="118" t="s">
        <v>2946</v>
      </c>
      <c r="H9" s="114"/>
      <c r="I9" s="36"/>
      <c r="J9" s="114" t="s">
        <v>2632</v>
      </c>
      <c r="K9" s="114">
        <v>8</v>
      </c>
      <c r="L9" s="37">
        <v>78400</v>
      </c>
      <c r="M9" s="114" t="s">
        <v>2793</v>
      </c>
      <c r="N9" s="114"/>
      <c r="O9" s="113">
        <v>46173</v>
      </c>
      <c r="P9" s="114">
        <v>1</v>
      </c>
      <c r="Q9" s="114" t="s">
        <v>2725</v>
      </c>
      <c r="R9" s="114"/>
      <c r="S9" s="7" t="s">
        <v>3055</v>
      </c>
    </row>
    <row r="10" spans="1:24" s="7" customFormat="1">
      <c r="A10" s="69" t="s">
        <v>2984</v>
      </c>
      <c r="B10" s="115">
        <v>46173</v>
      </c>
      <c r="C10" s="114" t="s">
        <v>2787</v>
      </c>
      <c r="D10" s="114" t="s">
        <v>2788</v>
      </c>
      <c r="E10" s="114" t="s">
        <v>259</v>
      </c>
      <c r="F10" s="114" t="s">
        <v>2789</v>
      </c>
      <c r="G10" s="118" t="s">
        <v>2945</v>
      </c>
      <c r="H10" s="114"/>
      <c r="I10" s="36"/>
      <c r="J10" s="114" t="s">
        <v>2632</v>
      </c>
      <c r="K10" s="114">
        <v>8</v>
      </c>
      <c r="L10" s="37">
        <v>11200</v>
      </c>
      <c r="M10" s="114" t="s">
        <v>2790</v>
      </c>
      <c r="N10" s="114"/>
      <c r="O10" s="113">
        <v>46173</v>
      </c>
      <c r="P10" s="114">
        <v>1</v>
      </c>
      <c r="Q10" s="114" t="s">
        <v>2725</v>
      </c>
      <c r="R10" s="114"/>
      <c r="S10" s="7" t="s">
        <v>3055</v>
      </c>
    </row>
    <row r="11" spans="1:24" s="7" customFormat="1">
      <c r="A11" s="69" t="s">
        <v>2985</v>
      </c>
      <c r="B11" s="115">
        <v>46173</v>
      </c>
      <c r="C11" s="114" t="s">
        <v>2783</v>
      </c>
      <c r="D11" s="114" t="s">
        <v>2784</v>
      </c>
      <c r="E11" s="114" t="s">
        <v>326</v>
      </c>
      <c r="F11" s="114" t="s">
        <v>2785</v>
      </c>
      <c r="G11" s="118" t="s">
        <v>2944</v>
      </c>
      <c r="H11" s="114"/>
      <c r="I11" s="36"/>
      <c r="J11" s="114" t="s">
        <v>2632</v>
      </c>
      <c r="K11" s="114">
        <v>8</v>
      </c>
      <c r="L11" s="37">
        <v>117600</v>
      </c>
      <c r="M11" s="114" t="s">
        <v>2786</v>
      </c>
      <c r="N11" s="114"/>
      <c r="O11" s="113">
        <v>46173</v>
      </c>
      <c r="P11" s="114">
        <v>1</v>
      </c>
      <c r="Q11" s="114" t="s">
        <v>2777</v>
      </c>
      <c r="R11" s="114"/>
      <c r="S11" s="7" t="s">
        <v>3055</v>
      </c>
    </row>
    <row r="12" spans="1:24" s="7" customFormat="1">
      <c r="A12" s="69" t="s">
        <v>2986</v>
      </c>
      <c r="B12" s="113">
        <v>46173</v>
      </c>
      <c r="C12" s="114" t="s">
        <v>2826</v>
      </c>
      <c r="D12" s="114" t="s">
        <v>2784</v>
      </c>
      <c r="E12" s="114" t="s">
        <v>326</v>
      </c>
      <c r="F12" s="114" t="s">
        <v>2827</v>
      </c>
      <c r="G12" s="118" t="s">
        <v>2828</v>
      </c>
      <c r="H12" s="114"/>
      <c r="I12" s="36"/>
      <c r="J12" s="114" t="s">
        <v>2632</v>
      </c>
      <c r="K12" s="114">
        <v>8</v>
      </c>
      <c r="L12" s="39">
        <v>200940</v>
      </c>
      <c r="M12" s="114" t="s">
        <v>2829</v>
      </c>
      <c r="N12" s="114"/>
      <c r="O12" s="115">
        <v>46173</v>
      </c>
      <c r="P12" s="114">
        <v>4</v>
      </c>
      <c r="Q12" s="114" t="s">
        <v>2725</v>
      </c>
      <c r="R12" s="114"/>
      <c r="S12" s="7" t="s">
        <v>3055</v>
      </c>
    </row>
    <row r="13" spans="1:24" s="7" customFormat="1">
      <c r="A13" s="69" t="s">
        <v>2987</v>
      </c>
      <c r="B13" s="115">
        <v>46173</v>
      </c>
      <c r="C13" s="114" t="s">
        <v>2672</v>
      </c>
      <c r="D13" s="114" t="s">
        <v>2673</v>
      </c>
      <c r="E13" s="114" t="s">
        <v>326</v>
      </c>
      <c r="F13" s="114" t="s">
        <v>2674</v>
      </c>
      <c r="G13" s="118" t="s">
        <v>2919</v>
      </c>
      <c r="H13" s="114"/>
      <c r="I13" s="36"/>
      <c r="J13" s="114" t="s">
        <v>2632</v>
      </c>
      <c r="K13" s="114">
        <v>8</v>
      </c>
      <c r="L13" s="37">
        <v>17085</v>
      </c>
      <c r="M13" s="114" t="s">
        <v>2675</v>
      </c>
      <c r="N13" s="114"/>
      <c r="O13" s="113">
        <v>46173</v>
      </c>
      <c r="P13" s="114">
        <v>1</v>
      </c>
      <c r="Q13" s="114" t="s">
        <v>2676</v>
      </c>
      <c r="R13" s="114"/>
      <c r="S13" s="7" t="s">
        <v>3055</v>
      </c>
    </row>
    <row r="14" spans="1:24" s="7" customFormat="1">
      <c r="A14" s="69" t="s">
        <v>2988</v>
      </c>
      <c r="B14" s="113">
        <v>46173</v>
      </c>
      <c r="C14" s="114" t="s">
        <v>2815</v>
      </c>
      <c r="D14" s="114" t="s">
        <v>2673</v>
      </c>
      <c r="E14" s="114" t="s">
        <v>326</v>
      </c>
      <c r="F14" s="114" t="s">
        <v>2816</v>
      </c>
      <c r="G14" s="118" t="s">
        <v>2953</v>
      </c>
      <c r="H14" s="114" t="s">
        <v>2617</v>
      </c>
      <c r="I14" s="36">
        <v>935000</v>
      </c>
      <c r="J14" s="114" t="s">
        <v>328</v>
      </c>
      <c r="K14" s="114">
        <v>24</v>
      </c>
      <c r="L14" s="39">
        <v>242112</v>
      </c>
      <c r="M14" s="114" t="s">
        <v>2817</v>
      </c>
      <c r="N14" s="114"/>
      <c r="O14" s="115">
        <v>46173</v>
      </c>
      <c r="P14" s="114">
        <v>12</v>
      </c>
      <c r="Q14" s="114" t="s">
        <v>2818</v>
      </c>
      <c r="R14" s="114"/>
      <c r="S14" s="7" t="s">
        <v>3055</v>
      </c>
    </row>
    <row r="15" spans="1:24" s="7" customFormat="1">
      <c r="A15" s="69" t="s">
        <v>2989</v>
      </c>
      <c r="B15" s="115">
        <v>46173</v>
      </c>
      <c r="C15" s="114" t="s">
        <v>2692</v>
      </c>
      <c r="D15" s="114" t="s">
        <v>2669</v>
      </c>
      <c r="E15" s="114" t="s">
        <v>326</v>
      </c>
      <c r="F15" s="114" t="s">
        <v>2693</v>
      </c>
      <c r="G15" s="118" t="s">
        <v>2924</v>
      </c>
      <c r="H15" s="114"/>
      <c r="I15" s="36"/>
      <c r="J15" s="114" t="s">
        <v>2632</v>
      </c>
      <c r="K15" s="114">
        <v>8</v>
      </c>
      <c r="L15" s="37">
        <v>37280</v>
      </c>
      <c r="M15" s="114" t="s">
        <v>2694</v>
      </c>
      <c r="N15" s="114"/>
      <c r="O15" s="113">
        <v>46173</v>
      </c>
      <c r="P15" s="114">
        <v>1</v>
      </c>
      <c r="Q15" s="114" t="s">
        <v>2634</v>
      </c>
      <c r="R15" s="114"/>
      <c r="S15" s="7" t="s">
        <v>3055</v>
      </c>
    </row>
    <row r="16" spans="1:24" s="7" customFormat="1">
      <c r="A16" s="69" t="s">
        <v>2990</v>
      </c>
      <c r="B16" s="115">
        <v>46173</v>
      </c>
      <c r="C16" s="114" t="s">
        <v>2668</v>
      </c>
      <c r="D16" s="114" t="s">
        <v>2669</v>
      </c>
      <c r="E16" s="114" t="s">
        <v>326</v>
      </c>
      <c r="F16" s="114" t="s">
        <v>2670</v>
      </c>
      <c r="G16" s="118" t="s">
        <v>2918</v>
      </c>
      <c r="H16" s="114"/>
      <c r="I16" s="36"/>
      <c r="J16" s="114" t="s">
        <v>2632</v>
      </c>
      <c r="K16" s="114">
        <v>8</v>
      </c>
      <c r="L16" s="37">
        <v>565330</v>
      </c>
      <c r="M16" s="114" t="s">
        <v>2671</v>
      </c>
      <c r="N16" s="114"/>
      <c r="O16" s="113">
        <v>46173</v>
      </c>
      <c r="P16" s="114">
        <v>1</v>
      </c>
      <c r="Q16" s="114" t="s">
        <v>2634</v>
      </c>
      <c r="R16" s="114"/>
      <c r="S16" s="7" t="s">
        <v>3055</v>
      </c>
    </row>
    <row r="17" spans="1:19" s="7" customFormat="1">
      <c r="A17" s="69" t="s">
        <v>2991</v>
      </c>
      <c r="B17" s="115">
        <v>46173</v>
      </c>
      <c r="C17" s="116" t="s">
        <v>2848</v>
      </c>
      <c r="D17" s="116" t="s">
        <v>2657</v>
      </c>
      <c r="E17" s="116" t="s">
        <v>326</v>
      </c>
      <c r="F17" s="116" t="s">
        <v>2849</v>
      </c>
      <c r="G17" s="118" t="s">
        <v>2957</v>
      </c>
      <c r="H17" s="116"/>
      <c r="I17" s="106"/>
      <c r="J17" s="114" t="s">
        <v>2632</v>
      </c>
      <c r="K17" s="114">
        <v>8</v>
      </c>
      <c r="L17" s="37">
        <v>830400</v>
      </c>
      <c r="M17" s="114" t="s">
        <v>2850</v>
      </c>
      <c r="N17" s="114"/>
      <c r="O17" s="115">
        <v>46173</v>
      </c>
      <c r="P17" s="114">
        <v>4</v>
      </c>
      <c r="Q17" s="114" t="s">
        <v>2725</v>
      </c>
      <c r="R17" s="114"/>
      <c r="S17" s="7" t="s">
        <v>3055</v>
      </c>
    </row>
    <row r="18" spans="1:19" s="7" customFormat="1">
      <c r="A18" s="69" t="s">
        <v>2992</v>
      </c>
      <c r="B18" s="115">
        <v>46173</v>
      </c>
      <c r="C18" s="116" t="s">
        <v>2879</v>
      </c>
      <c r="D18" s="116" t="s">
        <v>2613</v>
      </c>
      <c r="E18" s="116" t="s">
        <v>326</v>
      </c>
      <c r="F18" s="116" t="s">
        <v>2880</v>
      </c>
      <c r="G18" s="118" t="s">
        <v>2963</v>
      </c>
      <c r="H18" s="116"/>
      <c r="I18" s="106"/>
      <c r="J18" s="114" t="s">
        <v>2632</v>
      </c>
      <c r="K18" s="114">
        <v>8</v>
      </c>
      <c r="L18" s="37">
        <v>71400</v>
      </c>
      <c r="M18" s="114" t="s">
        <v>2881</v>
      </c>
      <c r="N18" s="114"/>
      <c r="O18" s="115">
        <v>46173</v>
      </c>
      <c r="P18" s="114">
        <v>4</v>
      </c>
      <c r="Q18" s="114" t="s">
        <v>2725</v>
      </c>
      <c r="R18" s="114"/>
      <c r="S18" s="7" t="s">
        <v>3055</v>
      </c>
    </row>
    <row r="19" spans="1:19" s="7" customFormat="1">
      <c r="A19" s="69" t="s">
        <v>2993</v>
      </c>
      <c r="B19" s="115">
        <v>46173</v>
      </c>
      <c r="C19" s="114" t="s">
        <v>2752</v>
      </c>
      <c r="D19" s="114" t="s">
        <v>2669</v>
      </c>
      <c r="E19" s="114" t="s">
        <v>326</v>
      </c>
      <c r="F19" s="114" t="s">
        <v>2753</v>
      </c>
      <c r="G19" s="118" t="s">
        <v>2937</v>
      </c>
      <c r="H19" s="114"/>
      <c r="I19" s="36"/>
      <c r="J19" s="114" t="s">
        <v>2632</v>
      </c>
      <c r="K19" s="114">
        <v>8</v>
      </c>
      <c r="L19" s="37">
        <v>7310</v>
      </c>
      <c r="M19" s="114" t="s">
        <v>2754</v>
      </c>
      <c r="N19" s="114"/>
      <c r="O19" s="113">
        <v>46173</v>
      </c>
      <c r="P19" s="114">
        <v>1</v>
      </c>
      <c r="Q19" s="114" t="s">
        <v>2725</v>
      </c>
      <c r="R19" s="114"/>
      <c r="S19" s="7" t="s">
        <v>3055</v>
      </c>
    </row>
    <row r="20" spans="1:19" s="7" customFormat="1">
      <c r="A20" s="69" t="s">
        <v>2994</v>
      </c>
      <c r="B20" s="115">
        <v>46173</v>
      </c>
      <c r="C20" s="116" t="s">
        <v>2801</v>
      </c>
      <c r="D20" s="116" t="s">
        <v>2802</v>
      </c>
      <c r="E20" s="116" t="s">
        <v>326</v>
      </c>
      <c r="F20" s="116" t="s">
        <v>2803</v>
      </c>
      <c r="G20" s="118" t="s">
        <v>2949</v>
      </c>
      <c r="H20" s="116"/>
      <c r="I20" s="38"/>
      <c r="J20" s="114" t="s">
        <v>2632</v>
      </c>
      <c r="K20" s="114">
        <v>8</v>
      </c>
      <c r="L20" s="37">
        <v>17510</v>
      </c>
      <c r="M20" s="114" t="s">
        <v>2804</v>
      </c>
      <c r="N20" s="114"/>
      <c r="O20" s="115">
        <v>46173</v>
      </c>
      <c r="P20" s="114">
        <v>1</v>
      </c>
      <c r="Q20" s="114" t="s">
        <v>2725</v>
      </c>
      <c r="R20" s="114"/>
      <c r="S20" s="7" t="s">
        <v>3055</v>
      </c>
    </row>
    <row r="21" spans="1:19" s="7" customFormat="1">
      <c r="A21" s="69" t="s">
        <v>2995</v>
      </c>
      <c r="B21" s="115">
        <v>46173</v>
      </c>
      <c r="C21" s="114" t="s">
        <v>2656</v>
      </c>
      <c r="D21" s="114" t="s">
        <v>2657</v>
      </c>
      <c r="E21" s="114" t="s">
        <v>326</v>
      </c>
      <c r="F21" s="114" t="s">
        <v>2658</v>
      </c>
      <c r="G21" s="118" t="s">
        <v>2659</v>
      </c>
      <c r="H21" s="114"/>
      <c r="I21" s="36"/>
      <c r="J21" s="114" t="s">
        <v>2632</v>
      </c>
      <c r="K21" s="114">
        <v>8</v>
      </c>
      <c r="L21" s="37">
        <v>551136</v>
      </c>
      <c r="M21" s="114" t="s">
        <v>2660</v>
      </c>
      <c r="N21" s="114"/>
      <c r="O21" s="113">
        <v>46173</v>
      </c>
      <c r="P21" s="114">
        <v>1</v>
      </c>
      <c r="Q21" s="114" t="s">
        <v>2634</v>
      </c>
      <c r="R21" s="114"/>
      <c r="S21" s="7" t="s">
        <v>3055</v>
      </c>
    </row>
    <row r="22" spans="1:19" s="7" customFormat="1">
      <c r="A22" s="69" t="s">
        <v>2996</v>
      </c>
      <c r="B22" s="115">
        <v>46173</v>
      </c>
      <c r="C22" s="114" t="s">
        <v>2677</v>
      </c>
      <c r="D22" s="114" t="s">
        <v>2657</v>
      </c>
      <c r="E22" s="114" t="s">
        <v>326</v>
      </c>
      <c r="F22" s="114" t="s">
        <v>2678</v>
      </c>
      <c r="G22" s="118" t="s">
        <v>2920</v>
      </c>
      <c r="H22" s="114"/>
      <c r="I22" s="36"/>
      <c r="J22" s="114" t="s">
        <v>2632</v>
      </c>
      <c r="K22" s="114">
        <v>8</v>
      </c>
      <c r="L22" s="37">
        <v>8755</v>
      </c>
      <c r="M22" s="114" t="s">
        <v>2679</v>
      </c>
      <c r="N22" s="114"/>
      <c r="O22" s="113">
        <v>46173</v>
      </c>
      <c r="P22" s="114">
        <v>1</v>
      </c>
      <c r="Q22" s="114" t="s">
        <v>2634</v>
      </c>
      <c r="R22" s="114"/>
      <c r="S22" s="7" t="s">
        <v>3055</v>
      </c>
    </row>
    <row r="23" spans="1:19" s="7" customFormat="1">
      <c r="A23" s="69" t="s">
        <v>2997</v>
      </c>
      <c r="B23" s="115">
        <v>46173</v>
      </c>
      <c r="C23" s="114" t="s">
        <v>2735</v>
      </c>
      <c r="D23" s="114" t="s">
        <v>2669</v>
      </c>
      <c r="E23" s="114" t="s">
        <v>326</v>
      </c>
      <c r="F23" s="114" t="s">
        <v>2736</v>
      </c>
      <c r="G23" s="118" t="s">
        <v>2933</v>
      </c>
      <c r="H23" s="114"/>
      <c r="I23" s="36"/>
      <c r="J23" s="114" t="s">
        <v>327</v>
      </c>
      <c r="K23" s="114">
        <v>8</v>
      </c>
      <c r="L23" s="37">
        <v>2040</v>
      </c>
      <c r="M23" s="114" t="s">
        <v>2737</v>
      </c>
      <c r="N23" s="114"/>
      <c r="O23" s="113">
        <v>46173</v>
      </c>
      <c r="P23" s="114">
        <v>1</v>
      </c>
      <c r="Q23" s="114" t="s">
        <v>2587</v>
      </c>
      <c r="R23" s="114"/>
      <c r="S23" s="7" t="s">
        <v>3055</v>
      </c>
    </row>
    <row r="24" spans="1:19" s="7" customFormat="1">
      <c r="A24" s="69" t="s">
        <v>2998</v>
      </c>
      <c r="B24" s="115">
        <v>46173</v>
      </c>
      <c r="C24" s="114" t="s">
        <v>2709</v>
      </c>
      <c r="D24" s="114" t="s">
        <v>2710</v>
      </c>
      <c r="E24" s="114" t="s">
        <v>326</v>
      </c>
      <c r="F24" s="114" t="s">
        <v>2711</v>
      </c>
      <c r="G24" s="118" t="s">
        <v>2928</v>
      </c>
      <c r="H24" s="114"/>
      <c r="I24" s="36"/>
      <c r="J24" s="114" t="s">
        <v>2632</v>
      </c>
      <c r="K24" s="114">
        <v>8</v>
      </c>
      <c r="L24" s="37">
        <v>93730</v>
      </c>
      <c r="M24" s="114" t="s">
        <v>2712</v>
      </c>
      <c r="N24" s="114"/>
      <c r="O24" s="113">
        <v>46173</v>
      </c>
      <c r="P24" s="114">
        <v>1</v>
      </c>
      <c r="Q24" s="114" t="s">
        <v>2634</v>
      </c>
      <c r="R24" s="114"/>
      <c r="S24" s="7" t="s">
        <v>3055</v>
      </c>
    </row>
    <row r="25" spans="1:19" s="7" customFormat="1">
      <c r="A25" s="69" t="s">
        <v>2999</v>
      </c>
      <c r="B25" s="115">
        <v>46173</v>
      </c>
      <c r="C25" s="114" t="s">
        <v>2731</v>
      </c>
      <c r="D25" s="114" t="s">
        <v>2586</v>
      </c>
      <c r="E25" s="114" t="s">
        <v>326</v>
      </c>
      <c r="F25" s="114" t="s">
        <v>2732</v>
      </c>
      <c r="G25" s="118" t="s">
        <v>2932</v>
      </c>
      <c r="H25" s="114"/>
      <c r="I25" s="36"/>
      <c r="J25" s="114" t="s">
        <v>328</v>
      </c>
      <c r="K25" s="114">
        <v>8</v>
      </c>
      <c r="L25" s="37">
        <v>87900</v>
      </c>
      <c r="M25" s="114" t="s">
        <v>2733</v>
      </c>
      <c r="N25" s="114"/>
      <c r="O25" s="113">
        <v>46173</v>
      </c>
      <c r="P25" s="114">
        <v>1</v>
      </c>
      <c r="Q25" s="114" t="s">
        <v>2734</v>
      </c>
      <c r="R25" s="114"/>
      <c r="S25" s="7" t="s">
        <v>3055</v>
      </c>
    </row>
    <row r="26" spans="1:19" s="7" customFormat="1">
      <c r="A26" s="69" t="s">
        <v>3000</v>
      </c>
      <c r="B26" s="115">
        <v>46173</v>
      </c>
      <c r="C26" s="114" t="s">
        <v>2705</v>
      </c>
      <c r="D26" s="114" t="s">
        <v>2607</v>
      </c>
      <c r="E26" s="114" t="s">
        <v>326</v>
      </c>
      <c r="F26" s="114" t="s">
        <v>2706</v>
      </c>
      <c r="G26" s="118" t="s">
        <v>2927</v>
      </c>
      <c r="H26" s="114"/>
      <c r="I26" s="36"/>
      <c r="J26" s="114" t="s">
        <v>2632</v>
      </c>
      <c r="K26" s="114">
        <v>8</v>
      </c>
      <c r="L26" s="37">
        <v>136990</v>
      </c>
      <c r="M26" s="114" t="s">
        <v>2707</v>
      </c>
      <c r="N26" s="114"/>
      <c r="O26" s="113">
        <v>46173</v>
      </c>
      <c r="P26" s="114">
        <v>1</v>
      </c>
      <c r="Q26" s="114" t="s">
        <v>2708</v>
      </c>
      <c r="R26" s="114"/>
      <c r="S26" s="7" t="s">
        <v>3055</v>
      </c>
    </row>
    <row r="27" spans="1:19" s="7" customFormat="1">
      <c r="A27" s="69" t="s">
        <v>3001</v>
      </c>
      <c r="B27" s="115">
        <v>46173</v>
      </c>
      <c r="C27" s="114" t="s">
        <v>2717</v>
      </c>
      <c r="D27" s="114" t="s">
        <v>2607</v>
      </c>
      <c r="E27" s="114" t="s">
        <v>326</v>
      </c>
      <c r="F27" s="114" t="s">
        <v>2718</v>
      </c>
      <c r="G27" s="118" t="s">
        <v>2719</v>
      </c>
      <c r="H27" s="114"/>
      <c r="I27" s="36"/>
      <c r="J27" s="114" t="s">
        <v>2632</v>
      </c>
      <c r="K27" s="114">
        <v>8</v>
      </c>
      <c r="L27" s="37">
        <v>5053080</v>
      </c>
      <c r="M27" s="114" t="s">
        <v>2720</v>
      </c>
      <c r="N27" s="114"/>
      <c r="O27" s="113">
        <v>46173</v>
      </c>
      <c r="P27" s="114">
        <v>1</v>
      </c>
      <c r="Q27" s="114" t="s">
        <v>2721</v>
      </c>
      <c r="R27" s="114"/>
      <c r="S27" s="7" t="s">
        <v>3055</v>
      </c>
    </row>
    <row r="28" spans="1:19" s="7" customFormat="1">
      <c r="A28" s="69" t="s">
        <v>2977</v>
      </c>
      <c r="B28" s="115">
        <v>46173</v>
      </c>
      <c r="C28" s="114" t="s">
        <v>2713</v>
      </c>
      <c r="D28" s="114" t="s">
        <v>2710</v>
      </c>
      <c r="E28" s="114" t="s">
        <v>326</v>
      </c>
      <c r="F28" s="114" t="s">
        <v>2711</v>
      </c>
      <c r="G28" s="118" t="s">
        <v>2928</v>
      </c>
      <c r="H28" s="114"/>
      <c r="I28" s="36"/>
      <c r="J28" s="114" t="s">
        <v>2632</v>
      </c>
      <c r="K28" s="114">
        <v>8</v>
      </c>
      <c r="L28" s="37">
        <v>7210</v>
      </c>
      <c r="M28" s="114" t="s">
        <v>2714</v>
      </c>
      <c r="N28" s="114"/>
      <c r="O28" s="113">
        <v>46173</v>
      </c>
      <c r="P28" s="114">
        <v>1</v>
      </c>
      <c r="Q28" s="114" t="s">
        <v>2634</v>
      </c>
      <c r="R28" s="114"/>
      <c r="S28" s="7" t="s">
        <v>3055</v>
      </c>
    </row>
    <row r="29" spans="1:19" s="7" customFormat="1">
      <c r="A29" s="69" t="s">
        <v>3002</v>
      </c>
      <c r="B29" s="115">
        <v>46173</v>
      </c>
      <c r="C29" s="116" t="s">
        <v>2886</v>
      </c>
      <c r="D29" s="116" t="s">
        <v>2586</v>
      </c>
      <c r="E29" s="116" t="s">
        <v>326</v>
      </c>
      <c r="F29" s="116" t="s">
        <v>2887</v>
      </c>
      <c r="G29" s="118" t="s">
        <v>2964</v>
      </c>
      <c r="H29" s="116"/>
      <c r="I29" s="106"/>
      <c r="J29" s="114" t="s">
        <v>328</v>
      </c>
      <c r="K29" s="114">
        <v>24</v>
      </c>
      <c r="L29" s="37" t="s">
        <v>2888</v>
      </c>
      <c r="M29" s="114" t="s">
        <v>2889</v>
      </c>
      <c r="N29" s="114"/>
      <c r="O29" s="115">
        <v>46173</v>
      </c>
      <c r="P29" s="114">
        <v>12</v>
      </c>
      <c r="Q29" s="114" t="s">
        <v>2874</v>
      </c>
      <c r="R29" s="114"/>
      <c r="S29" s="7" t="s">
        <v>3055</v>
      </c>
    </row>
    <row r="30" spans="1:19" s="7" customFormat="1">
      <c r="A30" s="69" t="s">
        <v>3003</v>
      </c>
      <c r="B30" s="115">
        <v>46173</v>
      </c>
      <c r="C30" s="114" t="s">
        <v>2778</v>
      </c>
      <c r="D30" s="114" t="s">
        <v>2779</v>
      </c>
      <c r="E30" s="114" t="s">
        <v>326</v>
      </c>
      <c r="F30" s="114" t="s">
        <v>2780</v>
      </c>
      <c r="G30" s="118" t="s">
        <v>2943</v>
      </c>
      <c r="H30" s="114"/>
      <c r="I30" s="36"/>
      <c r="J30" s="114" t="s">
        <v>2632</v>
      </c>
      <c r="K30" s="114">
        <v>8</v>
      </c>
      <c r="L30" s="37">
        <v>205030</v>
      </c>
      <c r="M30" s="114" t="s">
        <v>2781</v>
      </c>
      <c r="N30" s="114"/>
      <c r="O30" s="113">
        <v>46173</v>
      </c>
      <c r="P30" s="114">
        <v>1</v>
      </c>
      <c r="Q30" s="114" t="s">
        <v>2782</v>
      </c>
      <c r="R30" s="114"/>
      <c r="S30" s="7" t="s">
        <v>3055</v>
      </c>
    </row>
    <row r="31" spans="1:19" s="7" customFormat="1">
      <c r="A31" s="69" t="s">
        <v>3004</v>
      </c>
      <c r="B31" s="115">
        <v>46173</v>
      </c>
      <c r="C31" s="116" t="s">
        <v>2811</v>
      </c>
      <c r="D31" s="116" t="s">
        <v>2812</v>
      </c>
      <c r="E31" s="116" t="s">
        <v>326</v>
      </c>
      <c r="F31" s="116" t="s">
        <v>2813</v>
      </c>
      <c r="G31" s="118" t="s">
        <v>2952</v>
      </c>
      <c r="H31" s="116"/>
      <c r="I31" s="36"/>
      <c r="J31" s="114" t="s">
        <v>2632</v>
      </c>
      <c r="K31" s="114">
        <v>8</v>
      </c>
      <c r="L31" s="37">
        <v>71570</v>
      </c>
      <c r="M31" s="114" t="s">
        <v>2814</v>
      </c>
      <c r="N31" s="114"/>
      <c r="O31" s="113">
        <v>46173</v>
      </c>
      <c r="P31" s="114">
        <v>1</v>
      </c>
      <c r="Q31" s="114" t="s">
        <v>2725</v>
      </c>
      <c r="R31" s="114"/>
      <c r="S31" s="7" t="s">
        <v>3055</v>
      </c>
    </row>
    <row r="32" spans="1:19" s="7" customFormat="1">
      <c r="A32" s="69" t="s">
        <v>3005</v>
      </c>
      <c r="B32" s="115">
        <v>46173</v>
      </c>
      <c r="C32" s="114" t="s">
        <v>2722</v>
      </c>
      <c r="D32" s="114" t="s">
        <v>2612</v>
      </c>
      <c r="E32" s="114" t="s">
        <v>326</v>
      </c>
      <c r="F32" s="114" t="s">
        <v>2723</v>
      </c>
      <c r="G32" s="118" t="s">
        <v>2930</v>
      </c>
      <c r="H32" s="114"/>
      <c r="I32" s="36"/>
      <c r="J32" s="114" t="s">
        <v>2632</v>
      </c>
      <c r="K32" s="114">
        <v>8</v>
      </c>
      <c r="L32" s="37">
        <v>418820</v>
      </c>
      <c r="M32" s="114" t="s">
        <v>2724</v>
      </c>
      <c r="N32" s="114"/>
      <c r="O32" s="113">
        <v>46173</v>
      </c>
      <c r="P32" s="114">
        <v>1</v>
      </c>
      <c r="Q32" s="114" t="s">
        <v>2725</v>
      </c>
      <c r="R32" s="114"/>
      <c r="S32" s="7" t="s">
        <v>3055</v>
      </c>
    </row>
    <row r="33" spans="1:19" s="7" customFormat="1">
      <c r="A33" s="69" t="s">
        <v>3006</v>
      </c>
      <c r="B33" s="115">
        <v>46173</v>
      </c>
      <c r="C33" s="116" t="s">
        <v>2851</v>
      </c>
      <c r="D33" s="116" t="s">
        <v>2852</v>
      </c>
      <c r="E33" s="116" t="s">
        <v>326</v>
      </c>
      <c r="F33" s="116" t="s">
        <v>2853</v>
      </c>
      <c r="G33" s="118" t="s">
        <v>2958</v>
      </c>
      <c r="H33" s="116"/>
      <c r="I33" s="106"/>
      <c r="J33" s="114" t="s">
        <v>2632</v>
      </c>
      <c r="K33" s="114">
        <v>8</v>
      </c>
      <c r="L33" s="37">
        <v>262080</v>
      </c>
      <c r="M33" s="114" t="s">
        <v>2854</v>
      </c>
      <c r="N33" s="114"/>
      <c r="O33" s="115">
        <v>46173</v>
      </c>
      <c r="P33" s="114">
        <v>4</v>
      </c>
      <c r="Q33" s="114" t="s">
        <v>2725</v>
      </c>
      <c r="R33" s="114"/>
      <c r="S33" s="7" t="s">
        <v>3055</v>
      </c>
    </row>
    <row r="34" spans="1:19" s="7" customFormat="1">
      <c r="A34" s="69" t="s">
        <v>3007</v>
      </c>
      <c r="B34" s="115">
        <v>46173</v>
      </c>
      <c r="C34" s="116" t="s">
        <v>2865</v>
      </c>
      <c r="D34" s="116" t="s">
        <v>2866</v>
      </c>
      <c r="E34" s="116" t="s">
        <v>326</v>
      </c>
      <c r="F34" s="116" t="s">
        <v>2867</v>
      </c>
      <c r="G34" s="118" t="s">
        <v>2961</v>
      </c>
      <c r="H34" s="116"/>
      <c r="I34" s="106"/>
      <c r="J34" s="114" t="s">
        <v>2632</v>
      </c>
      <c r="K34" s="114">
        <v>8</v>
      </c>
      <c r="L34" s="37">
        <v>194292</v>
      </c>
      <c r="M34" s="114" t="s">
        <v>2868</v>
      </c>
      <c r="N34" s="114"/>
      <c r="O34" s="115">
        <v>46173</v>
      </c>
      <c r="P34" s="114">
        <v>4</v>
      </c>
      <c r="Q34" s="114" t="s">
        <v>2725</v>
      </c>
      <c r="R34" s="114"/>
      <c r="S34" s="7" t="s">
        <v>3055</v>
      </c>
    </row>
    <row r="35" spans="1:19" s="7" customFormat="1">
      <c r="A35" s="69" t="s">
        <v>3008</v>
      </c>
      <c r="B35" s="115">
        <v>46173</v>
      </c>
      <c r="C35" s="114" t="s">
        <v>2759</v>
      </c>
      <c r="D35" s="114" t="s">
        <v>2760</v>
      </c>
      <c r="E35" s="114" t="s">
        <v>326</v>
      </c>
      <c r="F35" s="114" t="s">
        <v>2761</v>
      </c>
      <c r="G35" s="118" t="s">
        <v>2938</v>
      </c>
      <c r="H35" s="114"/>
      <c r="I35" s="36"/>
      <c r="J35" s="114" t="s">
        <v>2632</v>
      </c>
      <c r="K35" s="114">
        <v>8</v>
      </c>
      <c r="L35" s="37">
        <v>143310</v>
      </c>
      <c r="M35" s="114" t="s">
        <v>2762</v>
      </c>
      <c r="N35" s="114"/>
      <c r="O35" s="113">
        <v>46173</v>
      </c>
      <c r="P35" s="114">
        <v>1</v>
      </c>
      <c r="Q35" s="114" t="s">
        <v>2725</v>
      </c>
      <c r="R35" s="114"/>
      <c r="S35" s="7" t="s">
        <v>3055</v>
      </c>
    </row>
    <row r="36" spans="1:19" s="7" customFormat="1">
      <c r="A36" s="69" t="s">
        <v>3009</v>
      </c>
      <c r="B36" s="115">
        <v>46173</v>
      </c>
      <c r="C36" s="116" t="s">
        <v>2862</v>
      </c>
      <c r="D36" s="116" t="s">
        <v>2858</v>
      </c>
      <c r="E36" s="116" t="s">
        <v>326</v>
      </c>
      <c r="F36" s="116" t="s">
        <v>2863</v>
      </c>
      <c r="G36" s="118" t="s">
        <v>2960</v>
      </c>
      <c r="H36" s="116"/>
      <c r="I36" s="106"/>
      <c r="J36" s="114" t="s">
        <v>2632</v>
      </c>
      <c r="K36" s="114">
        <v>8</v>
      </c>
      <c r="L36" s="37">
        <v>210120</v>
      </c>
      <c r="M36" s="114" t="s">
        <v>2864</v>
      </c>
      <c r="N36" s="114"/>
      <c r="O36" s="115">
        <v>46173</v>
      </c>
      <c r="P36" s="114">
        <v>4</v>
      </c>
      <c r="Q36" s="114" t="s">
        <v>2725</v>
      </c>
      <c r="R36" s="114"/>
      <c r="S36" s="7" t="s">
        <v>3055</v>
      </c>
    </row>
    <row r="37" spans="1:19" s="7" customFormat="1">
      <c r="A37" s="69" t="s">
        <v>3010</v>
      </c>
      <c r="B37" s="115">
        <v>46173</v>
      </c>
      <c r="C37" s="116" t="s">
        <v>2894</v>
      </c>
      <c r="D37" s="116" t="s">
        <v>2895</v>
      </c>
      <c r="E37" s="116" t="s">
        <v>326</v>
      </c>
      <c r="F37" s="116" t="s">
        <v>2896</v>
      </c>
      <c r="G37" s="118" t="s">
        <v>2966</v>
      </c>
      <c r="H37" s="116"/>
      <c r="I37" s="106"/>
      <c r="J37" s="114" t="s">
        <v>328</v>
      </c>
      <c r="K37" s="114">
        <v>24</v>
      </c>
      <c r="L37" s="37">
        <v>944040</v>
      </c>
      <c r="M37" s="114" t="s">
        <v>2897</v>
      </c>
      <c r="N37" s="114"/>
      <c r="O37" s="115">
        <v>46173</v>
      </c>
      <c r="P37" s="114">
        <v>12</v>
      </c>
      <c r="Q37" s="114" t="s">
        <v>2898</v>
      </c>
      <c r="R37" s="114"/>
      <c r="S37" s="7" t="s">
        <v>3055</v>
      </c>
    </row>
    <row r="38" spans="1:19" s="7" customFormat="1">
      <c r="A38" s="69" t="s">
        <v>3011</v>
      </c>
      <c r="B38" s="115">
        <v>46173</v>
      </c>
      <c r="C38" s="116" t="s">
        <v>2857</v>
      </c>
      <c r="D38" s="116" t="s">
        <v>2858</v>
      </c>
      <c r="E38" s="116" t="s">
        <v>326</v>
      </c>
      <c r="F38" s="116" t="s">
        <v>2859</v>
      </c>
      <c r="G38" s="118" t="s">
        <v>2959</v>
      </c>
      <c r="H38" s="116"/>
      <c r="I38" s="106"/>
      <c r="J38" s="114" t="s">
        <v>328</v>
      </c>
      <c r="K38" s="114">
        <v>24</v>
      </c>
      <c r="L38" s="37">
        <v>35880</v>
      </c>
      <c r="M38" s="114" t="s">
        <v>2860</v>
      </c>
      <c r="N38" s="114"/>
      <c r="O38" s="115">
        <v>46173</v>
      </c>
      <c r="P38" s="114">
        <v>12</v>
      </c>
      <c r="Q38" s="114" t="s">
        <v>2861</v>
      </c>
      <c r="R38" s="114"/>
      <c r="S38" s="7" t="s">
        <v>3055</v>
      </c>
    </row>
    <row r="39" spans="1:19" s="7" customFormat="1">
      <c r="A39" s="69" t="s">
        <v>3012</v>
      </c>
      <c r="B39" s="115">
        <v>46173</v>
      </c>
      <c r="C39" s="116" t="s">
        <v>2840</v>
      </c>
      <c r="D39" s="116" t="s">
        <v>2841</v>
      </c>
      <c r="E39" s="116" t="s">
        <v>259</v>
      </c>
      <c r="F39" s="116" t="s">
        <v>2842</v>
      </c>
      <c r="G39" s="118" t="s">
        <v>2843</v>
      </c>
      <c r="H39" s="116"/>
      <c r="I39" s="106"/>
      <c r="J39" s="114" t="s">
        <v>2632</v>
      </c>
      <c r="K39" s="114">
        <v>8</v>
      </c>
      <c r="L39" s="37">
        <v>244800</v>
      </c>
      <c r="M39" s="114" t="s">
        <v>2844</v>
      </c>
      <c r="N39" s="114"/>
      <c r="O39" s="115">
        <v>46173</v>
      </c>
      <c r="P39" s="114">
        <v>4</v>
      </c>
      <c r="Q39" s="114" t="s">
        <v>2725</v>
      </c>
      <c r="R39" s="114"/>
      <c r="S39" s="7" t="s">
        <v>3055</v>
      </c>
    </row>
    <row r="40" spans="1:19" s="7" customFormat="1">
      <c r="A40" s="69" t="s">
        <v>3013</v>
      </c>
      <c r="B40" s="115">
        <v>46173</v>
      </c>
      <c r="C40" s="114" t="s">
        <v>2774</v>
      </c>
      <c r="D40" s="114" t="s">
        <v>2588</v>
      </c>
      <c r="E40" s="114" t="s">
        <v>326</v>
      </c>
      <c r="F40" s="114" t="s">
        <v>2775</v>
      </c>
      <c r="G40" s="118" t="s">
        <v>2942</v>
      </c>
      <c r="H40" s="114"/>
      <c r="I40" s="36"/>
      <c r="J40" s="114" t="s">
        <v>2632</v>
      </c>
      <c r="K40" s="114">
        <v>8</v>
      </c>
      <c r="L40" s="37">
        <v>34170</v>
      </c>
      <c r="M40" s="114" t="s">
        <v>2776</v>
      </c>
      <c r="N40" s="114"/>
      <c r="O40" s="113">
        <v>46173</v>
      </c>
      <c r="P40" s="114">
        <v>1</v>
      </c>
      <c r="Q40" s="114" t="s">
        <v>2777</v>
      </c>
      <c r="R40" s="114"/>
      <c r="S40" s="7" t="s">
        <v>3055</v>
      </c>
    </row>
    <row r="41" spans="1:19" s="7" customFormat="1">
      <c r="A41" s="69" t="s">
        <v>3014</v>
      </c>
      <c r="B41" s="113">
        <v>46173</v>
      </c>
      <c r="C41" s="114" t="s">
        <v>2635</v>
      </c>
      <c r="D41" s="114" t="s">
        <v>2619</v>
      </c>
      <c r="E41" s="114" t="s">
        <v>326</v>
      </c>
      <c r="F41" s="114" t="s">
        <v>2636</v>
      </c>
      <c r="G41" s="118" t="s">
        <v>2637</v>
      </c>
      <c r="H41" s="114"/>
      <c r="I41" s="36"/>
      <c r="J41" s="114" t="s">
        <v>2632</v>
      </c>
      <c r="K41" s="114">
        <v>8</v>
      </c>
      <c r="L41" s="39">
        <v>51000</v>
      </c>
      <c r="M41" s="114" t="s">
        <v>2638</v>
      </c>
      <c r="N41" s="114"/>
      <c r="O41" s="115">
        <v>46173</v>
      </c>
      <c r="P41" s="114">
        <v>1</v>
      </c>
      <c r="Q41" s="114" t="s">
        <v>2634</v>
      </c>
      <c r="R41" s="114"/>
      <c r="S41" s="7" t="s">
        <v>3055</v>
      </c>
    </row>
    <row r="42" spans="1:19" s="7" customFormat="1">
      <c r="A42" s="69" t="s">
        <v>3015</v>
      </c>
      <c r="B42" s="115">
        <v>46173</v>
      </c>
      <c r="C42" s="114" t="s">
        <v>2767</v>
      </c>
      <c r="D42" s="114" t="s">
        <v>2727</v>
      </c>
      <c r="E42" s="114" t="s">
        <v>259</v>
      </c>
      <c r="F42" s="114" t="s">
        <v>2768</v>
      </c>
      <c r="G42" s="118" t="s">
        <v>2940</v>
      </c>
      <c r="H42" s="114"/>
      <c r="I42" s="36"/>
      <c r="J42" s="114" t="s">
        <v>2632</v>
      </c>
      <c r="K42" s="114">
        <v>8</v>
      </c>
      <c r="L42" s="37">
        <v>20740</v>
      </c>
      <c r="M42" s="114" t="s">
        <v>2769</v>
      </c>
      <c r="N42" s="114"/>
      <c r="O42" s="113">
        <v>46173</v>
      </c>
      <c r="P42" s="114">
        <v>1</v>
      </c>
      <c r="Q42" s="114" t="s">
        <v>2725</v>
      </c>
      <c r="R42" s="114"/>
      <c r="S42" s="7" t="s">
        <v>3055</v>
      </c>
    </row>
    <row r="43" spans="1:19" s="7" customFormat="1">
      <c r="A43" s="69" t="s">
        <v>3016</v>
      </c>
      <c r="B43" s="115">
        <v>46173</v>
      </c>
      <c r="C43" s="116" t="s">
        <v>2869</v>
      </c>
      <c r="D43" s="116" t="s">
        <v>2870</v>
      </c>
      <c r="E43" s="116" t="s">
        <v>326</v>
      </c>
      <c r="F43" s="116" t="s">
        <v>2871</v>
      </c>
      <c r="G43" s="118" t="s">
        <v>2872</v>
      </c>
      <c r="H43" s="116"/>
      <c r="I43" s="106"/>
      <c r="J43" s="114" t="s">
        <v>328</v>
      </c>
      <c r="K43" s="114">
        <v>24</v>
      </c>
      <c r="L43" s="37">
        <v>4523724</v>
      </c>
      <c r="M43" s="114" t="s">
        <v>2873</v>
      </c>
      <c r="N43" s="114"/>
      <c r="O43" s="115">
        <v>46173</v>
      </c>
      <c r="P43" s="114">
        <v>12</v>
      </c>
      <c r="Q43" s="114" t="s">
        <v>2874</v>
      </c>
      <c r="R43" s="114"/>
      <c r="S43" s="7" t="s">
        <v>3055</v>
      </c>
    </row>
    <row r="44" spans="1:19" s="7" customFormat="1">
      <c r="A44" s="69" t="s">
        <v>3017</v>
      </c>
      <c r="B44" s="115">
        <v>46173</v>
      </c>
      <c r="C44" s="116" t="s">
        <v>2907</v>
      </c>
      <c r="D44" s="116" t="s">
        <v>2727</v>
      </c>
      <c r="E44" s="116" t="s">
        <v>259</v>
      </c>
      <c r="F44" s="116" t="s">
        <v>2908</v>
      </c>
      <c r="G44" s="118" t="s">
        <v>2968</v>
      </c>
      <c r="H44" s="116" t="s">
        <v>2909</v>
      </c>
      <c r="I44" s="106">
        <v>972000</v>
      </c>
      <c r="J44" s="114" t="s">
        <v>329</v>
      </c>
      <c r="K44" s="114">
        <v>8</v>
      </c>
      <c r="L44" s="37">
        <v>134040</v>
      </c>
      <c r="M44" s="114" t="s">
        <v>2910</v>
      </c>
      <c r="N44" s="114"/>
      <c r="O44" s="115">
        <v>46203</v>
      </c>
      <c r="P44" s="114">
        <v>12</v>
      </c>
      <c r="Q44" s="114" t="s">
        <v>2911</v>
      </c>
      <c r="R44" s="114"/>
      <c r="S44" s="7" t="s">
        <v>3055</v>
      </c>
    </row>
    <row r="45" spans="1:19" s="7" customFormat="1">
      <c r="A45" s="69" t="s">
        <v>3018</v>
      </c>
      <c r="B45" s="115">
        <v>46173</v>
      </c>
      <c r="C45" s="114" t="s">
        <v>2726</v>
      </c>
      <c r="D45" s="114" t="s">
        <v>2727</v>
      </c>
      <c r="E45" s="114" t="s">
        <v>326</v>
      </c>
      <c r="F45" s="114" t="s">
        <v>2728</v>
      </c>
      <c r="G45" s="118" t="s">
        <v>2931</v>
      </c>
      <c r="H45" s="114"/>
      <c r="I45" s="36"/>
      <c r="J45" s="114" t="s">
        <v>329</v>
      </c>
      <c r="K45" s="114">
        <v>24</v>
      </c>
      <c r="L45" s="37">
        <v>367200</v>
      </c>
      <c r="M45" s="114" t="s">
        <v>2729</v>
      </c>
      <c r="N45" s="114"/>
      <c r="O45" s="113">
        <v>46173</v>
      </c>
      <c r="P45" s="114">
        <v>12</v>
      </c>
      <c r="Q45" s="114" t="s">
        <v>2730</v>
      </c>
      <c r="R45" s="114"/>
      <c r="S45" s="7" t="s">
        <v>3055</v>
      </c>
    </row>
    <row r="46" spans="1:19" s="7" customFormat="1">
      <c r="A46" s="69" t="s">
        <v>3019</v>
      </c>
      <c r="B46" s="115">
        <v>46173</v>
      </c>
      <c r="C46" s="114" t="s">
        <v>2661</v>
      </c>
      <c r="D46" s="114" t="s">
        <v>2573</v>
      </c>
      <c r="E46" s="114" t="s">
        <v>326</v>
      </c>
      <c r="F46" s="114" t="s">
        <v>2662</v>
      </c>
      <c r="G46" s="118" t="s">
        <v>2916</v>
      </c>
      <c r="H46" s="114"/>
      <c r="I46" s="36"/>
      <c r="J46" s="114" t="s">
        <v>2632</v>
      </c>
      <c r="K46" s="114">
        <v>8</v>
      </c>
      <c r="L46" s="37">
        <v>129780</v>
      </c>
      <c r="M46" s="114" t="s">
        <v>2663</v>
      </c>
      <c r="N46" s="114"/>
      <c r="O46" s="113">
        <v>46173</v>
      </c>
      <c r="P46" s="114">
        <v>1</v>
      </c>
      <c r="Q46" s="114" t="s">
        <v>2634</v>
      </c>
      <c r="R46" s="114"/>
      <c r="S46" s="7" t="s">
        <v>3055</v>
      </c>
    </row>
    <row r="47" spans="1:19" s="7" customFormat="1">
      <c r="A47" s="69" t="s">
        <v>3020</v>
      </c>
      <c r="B47" s="113">
        <v>46173</v>
      </c>
      <c r="C47" s="114" t="s">
        <v>2648</v>
      </c>
      <c r="D47" s="114" t="s">
        <v>2573</v>
      </c>
      <c r="E47" s="114" t="s">
        <v>326</v>
      </c>
      <c r="F47" s="114" t="s">
        <v>2649</v>
      </c>
      <c r="G47" s="118" t="s">
        <v>2914</v>
      </c>
      <c r="H47" s="114"/>
      <c r="I47" s="36"/>
      <c r="J47" s="114" t="s">
        <v>2632</v>
      </c>
      <c r="K47" s="114">
        <v>8</v>
      </c>
      <c r="L47" s="39">
        <v>89600</v>
      </c>
      <c r="M47" s="114" t="s">
        <v>2650</v>
      </c>
      <c r="N47" s="114"/>
      <c r="O47" s="115">
        <v>46173</v>
      </c>
      <c r="P47" s="114">
        <v>1</v>
      </c>
      <c r="Q47" s="114" t="s">
        <v>2634</v>
      </c>
      <c r="R47" s="114"/>
      <c r="S47" s="7" t="s">
        <v>3055</v>
      </c>
    </row>
    <row r="48" spans="1:19" s="7" customFormat="1">
      <c r="A48" s="69" t="s">
        <v>3021</v>
      </c>
      <c r="B48" s="115">
        <v>46173</v>
      </c>
      <c r="C48" s="114" t="s">
        <v>2610</v>
      </c>
      <c r="D48" s="114" t="s">
        <v>2573</v>
      </c>
      <c r="E48" s="114" t="s">
        <v>326</v>
      </c>
      <c r="F48" s="114" t="s">
        <v>2611</v>
      </c>
      <c r="G48" s="118" t="s">
        <v>2624</v>
      </c>
      <c r="H48" s="114"/>
      <c r="I48" s="36"/>
      <c r="J48" s="114" t="s">
        <v>2632</v>
      </c>
      <c r="K48" s="114">
        <v>8</v>
      </c>
      <c r="L48" s="37">
        <v>3680</v>
      </c>
      <c r="M48" s="114" t="s">
        <v>2664</v>
      </c>
      <c r="N48" s="114"/>
      <c r="O48" s="113">
        <v>46173</v>
      </c>
      <c r="P48" s="114">
        <v>1</v>
      </c>
      <c r="Q48" s="114" t="s">
        <v>2634</v>
      </c>
      <c r="R48" s="114"/>
      <c r="S48" s="7" t="s">
        <v>3055</v>
      </c>
    </row>
    <row r="49" spans="1:19" s="7" customFormat="1">
      <c r="A49" s="69" t="s">
        <v>3022</v>
      </c>
      <c r="B49" s="115">
        <v>46173</v>
      </c>
      <c r="C49" s="114" t="s">
        <v>2665</v>
      </c>
      <c r="D49" s="114" t="s">
        <v>2640</v>
      </c>
      <c r="E49" s="114" t="s">
        <v>326</v>
      </c>
      <c r="F49" s="114" t="s">
        <v>2666</v>
      </c>
      <c r="G49" s="118" t="s">
        <v>2917</v>
      </c>
      <c r="H49" s="114"/>
      <c r="I49" s="36"/>
      <c r="J49" s="114" t="s">
        <v>2632</v>
      </c>
      <c r="K49" s="114">
        <v>8</v>
      </c>
      <c r="L49" s="37">
        <v>4900</v>
      </c>
      <c r="M49" s="114" t="s">
        <v>2667</v>
      </c>
      <c r="N49" s="114"/>
      <c r="O49" s="113">
        <v>46173</v>
      </c>
      <c r="P49" s="114">
        <v>1</v>
      </c>
      <c r="Q49" s="114" t="s">
        <v>2634</v>
      </c>
      <c r="R49" s="114"/>
      <c r="S49" s="7" t="s">
        <v>3055</v>
      </c>
    </row>
    <row r="50" spans="1:19" s="7" customFormat="1">
      <c r="A50" s="69" t="s">
        <v>3023</v>
      </c>
      <c r="B50" s="115">
        <v>46173</v>
      </c>
      <c r="C50" s="114" t="s">
        <v>2755</v>
      </c>
      <c r="D50" s="114" t="s">
        <v>2592</v>
      </c>
      <c r="E50" s="114" t="s">
        <v>326</v>
      </c>
      <c r="F50" s="114" t="s">
        <v>2756</v>
      </c>
      <c r="G50" s="118" t="s">
        <v>2757</v>
      </c>
      <c r="H50" s="114"/>
      <c r="I50" s="36"/>
      <c r="J50" s="114" t="s">
        <v>2632</v>
      </c>
      <c r="K50" s="114">
        <v>8</v>
      </c>
      <c r="L50" s="37">
        <v>43180</v>
      </c>
      <c r="M50" s="114" t="s">
        <v>2758</v>
      </c>
      <c r="N50" s="114"/>
      <c r="O50" s="113">
        <v>46173</v>
      </c>
      <c r="P50" s="114">
        <v>1</v>
      </c>
      <c r="Q50" s="47" t="s">
        <v>2725</v>
      </c>
      <c r="R50" s="114"/>
      <c r="S50" s="7" t="s">
        <v>3055</v>
      </c>
    </row>
    <row r="51" spans="1:19" s="7" customFormat="1">
      <c r="A51" s="69" t="s">
        <v>3024</v>
      </c>
      <c r="B51" s="113">
        <v>46173</v>
      </c>
      <c r="C51" s="114" t="s">
        <v>2639</v>
      </c>
      <c r="D51" s="114" t="s">
        <v>2640</v>
      </c>
      <c r="E51" s="114" t="s">
        <v>326</v>
      </c>
      <c r="F51" s="114" t="s">
        <v>2641</v>
      </c>
      <c r="G51" s="118" t="s">
        <v>2912</v>
      </c>
      <c r="H51" s="114"/>
      <c r="I51" s="36"/>
      <c r="J51" s="114" t="s">
        <v>2632</v>
      </c>
      <c r="K51" s="114">
        <v>8</v>
      </c>
      <c r="L51" s="39">
        <v>17510</v>
      </c>
      <c r="M51" s="114" t="s">
        <v>2642</v>
      </c>
      <c r="N51" s="114"/>
      <c r="O51" s="115">
        <v>46173</v>
      </c>
      <c r="P51" s="114">
        <v>1</v>
      </c>
      <c r="Q51" s="114" t="s">
        <v>2634</v>
      </c>
      <c r="R51" s="114"/>
      <c r="S51" s="7" t="s">
        <v>3055</v>
      </c>
    </row>
    <row r="52" spans="1:19" s="7" customFormat="1">
      <c r="A52" s="69" t="s">
        <v>3025</v>
      </c>
      <c r="B52" s="115">
        <v>46173</v>
      </c>
      <c r="C52" s="116" t="s">
        <v>2618</v>
      </c>
      <c r="D52" s="116" t="s">
        <v>2619</v>
      </c>
      <c r="E52" s="116" t="s">
        <v>259</v>
      </c>
      <c r="F52" s="116" t="s">
        <v>2620</v>
      </c>
      <c r="G52" s="118" t="s">
        <v>2626</v>
      </c>
      <c r="H52" s="116"/>
      <c r="I52" s="36"/>
      <c r="J52" s="114" t="s">
        <v>2632</v>
      </c>
      <c r="K52" s="114">
        <v>8</v>
      </c>
      <c r="L52" s="37">
        <v>26800</v>
      </c>
      <c r="M52" s="114" t="s">
        <v>2643</v>
      </c>
      <c r="N52" s="114"/>
      <c r="O52" s="113">
        <v>46173</v>
      </c>
      <c r="P52" s="114">
        <v>1</v>
      </c>
      <c r="Q52" s="114" t="s">
        <v>2634</v>
      </c>
      <c r="R52" s="114"/>
      <c r="S52" s="7" t="s">
        <v>3055</v>
      </c>
    </row>
    <row r="53" spans="1:19" s="7" customFormat="1">
      <c r="A53" s="69" t="s">
        <v>3026</v>
      </c>
      <c r="B53" s="115">
        <v>46173</v>
      </c>
      <c r="C53" s="114" t="s">
        <v>2742</v>
      </c>
      <c r="D53" s="114" t="s">
        <v>2743</v>
      </c>
      <c r="E53" s="114" t="s">
        <v>326</v>
      </c>
      <c r="F53" s="114" t="s">
        <v>2744</v>
      </c>
      <c r="G53" s="118" t="s">
        <v>2935</v>
      </c>
      <c r="H53" s="114"/>
      <c r="I53" s="36"/>
      <c r="J53" s="114" t="s">
        <v>329</v>
      </c>
      <c r="K53" s="114">
        <v>24</v>
      </c>
      <c r="L53" s="37" t="s">
        <v>2745</v>
      </c>
      <c r="M53" s="114" t="s">
        <v>2746</v>
      </c>
      <c r="N53" s="114"/>
      <c r="O53" s="113">
        <v>46173</v>
      </c>
      <c r="P53" s="114">
        <v>12</v>
      </c>
      <c r="Q53" s="114" t="s">
        <v>2747</v>
      </c>
      <c r="R53" s="114"/>
      <c r="S53" s="7" t="s">
        <v>3055</v>
      </c>
    </row>
    <row r="54" spans="1:19" s="7" customFormat="1">
      <c r="A54" s="69" t="s">
        <v>3027</v>
      </c>
      <c r="B54" s="115">
        <v>46173</v>
      </c>
      <c r="C54" s="114" t="s">
        <v>2770</v>
      </c>
      <c r="D54" s="114" t="s">
        <v>2609</v>
      </c>
      <c r="E54" s="114" t="s">
        <v>259</v>
      </c>
      <c r="F54" s="114" t="s">
        <v>2771</v>
      </c>
      <c r="G54" s="118" t="s">
        <v>2941</v>
      </c>
      <c r="H54" s="114"/>
      <c r="I54" s="36"/>
      <c r="J54" s="114" t="s">
        <v>2632</v>
      </c>
      <c r="K54" s="114">
        <v>8</v>
      </c>
      <c r="L54" s="37" t="s">
        <v>2772</v>
      </c>
      <c r="M54" s="114" t="s">
        <v>2773</v>
      </c>
      <c r="N54" s="114"/>
      <c r="O54" s="113">
        <v>46173</v>
      </c>
      <c r="P54" s="114">
        <v>1</v>
      </c>
      <c r="Q54" s="114" t="s">
        <v>2725</v>
      </c>
      <c r="R54" s="114"/>
      <c r="S54" s="7" t="s">
        <v>3055</v>
      </c>
    </row>
    <row r="55" spans="1:19" s="7" customFormat="1">
      <c r="A55" s="69" t="s">
        <v>3028</v>
      </c>
      <c r="B55" s="115">
        <v>46173</v>
      </c>
      <c r="C55" s="114" t="s">
        <v>2763</v>
      </c>
      <c r="D55" s="114" t="s">
        <v>2764</v>
      </c>
      <c r="E55" s="47" t="s">
        <v>326</v>
      </c>
      <c r="F55" s="114" t="s">
        <v>2765</v>
      </c>
      <c r="G55" s="118" t="s">
        <v>2939</v>
      </c>
      <c r="H55" s="114"/>
      <c r="I55" s="36"/>
      <c r="J55" s="114" t="s">
        <v>2632</v>
      </c>
      <c r="K55" s="114">
        <v>8</v>
      </c>
      <c r="L55" s="37">
        <v>51520</v>
      </c>
      <c r="M55" s="114" t="s">
        <v>2766</v>
      </c>
      <c r="N55" s="114"/>
      <c r="O55" s="113">
        <v>46173</v>
      </c>
      <c r="P55" s="114">
        <v>1</v>
      </c>
      <c r="Q55" s="114" t="s">
        <v>2725</v>
      </c>
      <c r="R55" s="114"/>
      <c r="S55" s="7" t="s">
        <v>3055</v>
      </c>
    </row>
    <row r="56" spans="1:19" s="7" customFormat="1">
      <c r="A56" s="69" t="s">
        <v>3029</v>
      </c>
      <c r="B56" s="115">
        <v>46173</v>
      </c>
      <c r="C56" s="114" t="s">
        <v>2651</v>
      </c>
      <c r="D56" s="114" t="s">
        <v>2652</v>
      </c>
      <c r="E56" s="114" t="s">
        <v>326</v>
      </c>
      <c r="F56" s="114" t="s">
        <v>2653</v>
      </c>
      <c r="G56" s="118" t="s">
        <v>2915</v>
      </c>
      <c r="H56" s="114"/>
      <c r="I56" s="36"/>
      <c r="J56" s="114" t="s">
        <v>2632</v>
      </c>
      <c r="K56" s="114">
        <v>8</v>
      </c>
      <c r="L56" s="37">
        <v>139060</v>
      </c>
      <c r="M56" s="114" t="s">
        <v>2654</v>
      </c>
      <c r="N56" s="114"/>
      <c r="O56" s="113">
        <v>46173</v>
      </c>
      <c r="P56" s="114">
        <v>1</v>
      </c>
      <c r="Q56" s="114" t="s">
        <v>2655</v>
      </c>
      <c r="R56" s="114"/>
      <c r="S56" s="7" t="s">
        <v>3055</v>
      </c>
    </row>
    <row r="57" spans="1:19">
      <c r="A57" s="69" t="s">
        <v>3030</v>
      </c>
      <c r="B57" s="115">
        <v>46173</v>
      </c>
      <c r="C57" s="114" t="s">
        <v>2680</v>
      </c>
      <c r="D57" s="114" t="s">
        <v>2681</v>
      </c>
      <c r="E57" s="114" t="s">
        <v>326</v>
      </c>
      <c r="F57" s="114" t="s">
        <v>2682</v>
      </c>
      <c r="G57" s="118" t="s">
        <v>2921</v>
      </c>
      <c r="H57" s="114"/>
      <c r="I57" s="36"/>
      <c r="J57" s="47" t="s">
        <v>2632</v>
      </c>
      <c r="K57" s="114">
        <v>8</v>
      </c>
      <c r="L57" s="37">
        <v>17510</v>
      </c>
      <c r="M57" s="114" t="s">
        <v>2683</v>
      </c>
      <c r="N57" s="114"/>
      <c r="O57" s="113">
        <v>46173</v>
      </c>
      <c r="P57" s="114">
        <v>1</v>
      </c>
      <c r="Q57" s="114" t="s">
        <v>2634</v>
      </c>
      <c r="R57" s="114"/>
      <c r="S57" s="5" t="s">
        <v>3055</v>
      </c>
    </row>
    <row r="58" spans="1:19">
      <c r="A58" s="69" t="s">
        <v>3031</v>
      </c>
      <c r="B58" s="115">
        <v>46173</v>
      </c>
      <c r="C58" s="116" t="s">
        <v>2621</v>
      </c>
      <c r="D58" s="116" t="s">
        <v>2615</v>
      </c>
      <c r="E58" s="116" t="s">
        <v>259</v>
      </c>
      <c r="F58" s="116" t="s">
        <v>2622</v>
      </c>
      <c r="G58" s="118" t="s">
        <v>2627</v>
      </c>
      <c r="H58" s="116"/>
      <c r="I58" s="106"/>
      <c r="J58" s="114" t="s">
        <v>2632</v>
      </c>
      <c r="K58" s="114">
        <v>8</v>
      </c>
      <c r="L58" s="37">
        <v>674892</v>
      </c>
      <c r="M58" s="114" t="s">
        <v>2856</v>
      </c>
      <c r="N58" s="114"/>
      <c r="O58" s="115">
        <v>46173</v>
      </c>
      <c r="P58" s="114">
        <v>4</v>
      </c>
      <c r="Q58" s="114" t="s">
        <v>2777</v>
      </c>
      <c r="R58" s="114"/>
      <c r="S58" s="5" t="s">
        <v>3055</v>
      </c>
    </row>
    <row r="59" spans="1:19">
      <c r="A59" s="69" t="s">
        <v>3032</v>
      </c>
      <c r="B59" s="115">
        <v>46173</v>
      </c>
      <c r="C59" s="116" t="s">
        <v>2614</v>
      </c>
      <c r="D59" s="116" t="s">
        <v>2615</v>
      </c>
      <c r="E59" s="116" t="s">
        <v>326</v>
      </c>
      <c r="F59" s="116" t="s">
        <v>2616</v>
      </c>
      <c r="G59" s="118" t="s">
        <v>2625</v>
      </c>
      <c r="H59" s="116"/>
      <c r="I59" s="106"/>
      <c r="J59" s="114" t="s">
        <v>2632</v>
      </c>
      <c r="K59" s="114">
        <v>8</v>
      </c>
      <c r="L59" s="37">
        <v>3202080</v>
      </c>
      <c r="M59" s="114" t="s">
        <v>2830</v>
      </c>
      <c r="N59" s="114"/>
      <c r="O59" s="115">
        <v>46173</v>
      </c>
      <c r="P59" s="114">
        <v>4</v>
      </c>
      <c r="Q59" s="114" t="s">
        <v>2725</v>
      </c>
      <c r="R59" s="114"/>
      <c r="S59" s="5" t="s">
        <v>3055</v>
      </c>
    </row>
    <row r="60" spans="1:19">
      <c r="A60" s="69" t="s">
        <v>3033</v>
      </c>
      <c r="B60" s="115">
        <v>46173</v>
      </c>
      <c r="C60" s="114" t="s">
        <v>2738</v>
      </c>
      <c r="D60" s="114" t="s">
        <v>2615</v>
      </c>
      <c r="E60" s="114" t="s">
        <v>326</v>
      </c>
      <c r="F60" s="114" t="s">
        <v>2739</v>
      </c>
      <c r="G60" s="118" t="s">
        <v>2934</v>
      </c>
      <c r="H60" s="114"/>
      <c r="I60" s="36"/>
      <c r="J60" s="114" t="s">
        <v>329</v>
      </c>
      <c r="K60" s="114">
        <v>8</v>
      </c>
      <c r="L60" s="37">
        <v>122880</v>
      </c>
      <c r="M60" s="114" t="s">
        <v>2740</v>
      </c>
      <c r="N60" s="114"/>
      <c r="O60" s="113">
        <v>46173</v>
      </c>
      <c r="P60" s="114">
        <v>12</v>
      </c>
      <c r="Q60" s="114" t="s">
        <v>2741</v>
      </c>
      <c r="R60" s="114"/>
      <c r="S60" s="5" t="s">
        <v>3055</v>
      </c>
    </row>
    <row r="61" spans="1:19">
      <c r="A61" s="69" t="s">
        <v>3034</v>
      </c>
      <c r="B61" s="115">
        <v>46173</v>
      </c>
      <c r="C61" s="114" t="s">
        <v>2695</v>
      </c>
      <c r="D61" s="114" t="s">
        <v>2590</v>
      </c>
      <c r="E61" s="114" t="s">
        <v>326</v>
      </c>
      <c r="F61" s="114" t="s">
        <v>2696</v>
      </c>
      <c r="G61" s="118" t="s">
        <v>2925</v>
      </c>
      <c r="H61" s="114"/>
      <c r="I61" s="36"/>
      <c r="J61" s="114" t="s">
        <v>2632</v>
      </c>
      <c r="K61" s="114">
        <v>8</v>
      </c>
      <c r="L61" s="37">
        <v>2398200</v>
      </c>
      <c r="M61" s="114" t="s">
        <v>2697</v>
      </c>
      <c r="N61" s="114"/>
      <c r="O61" s="113">
        <v>46173</v>
      </c>
      <c r="P61" s="114">
        <v>1</v>
      </c>
      <c r="Q61" s="114" t="s">
        <v>2634</v>
      </c>
      <c r="R61" s="114"/>
      <c r="S61" s="5" t="s">
        <v>3055</v>
      </c>
    </row>
    <row r="62" spans="1:19">
      <c r="A62" s="69" t="s">
        <v>3035</v>
      </c>
      <c r="B62" s="115">
        <v>46173</v>
      </c>
      <c r="C62" s="116" t="s">
        <v>2589</v>
      </c>
      <c r="D62" s="116" t="s">
        <v>2590</v>
      </c>
      <c r="E62" s="116" t="s">
        <v>326</v>
      </c>
      <c r="F62" s="116" t="s">
        <v>2591</v>
      </c>
      <c r="G62" s="118" t="s">
        <v>2593</v>
      </c>
      <c r="H62" s="116"/>
      <c r="I62" s="106"/>
      <c r="J62" s="114" t="s">
        <v>2632</v>
      </c>
      <c r="K62" s="114">
        <v>8</v>
      </c>
      <c r="L62" s="37">
        <v>216000</v>
      </c>
      <c r="M62" s="114" t="s">
        <v>2855</v>
      </c>
      <c r="N62" s="114"/>
      <c r="O62" s="115">
        <v>46173</v>
      </c>
      <c r="P62" s="114">
        <v>4</v>
      </c>
      <c r="Q62" s="114" t="s">
        <v>2725</v>
      </c>
      <c r="R62" s="114"/>
      <c r="S62" s="5" t="s">
        <v>3055</v>
      </c>
    </row>
    <row r="63" spans="1:19">
      <c r="A63" s="69" t="s">
        <v>3036</v>
      </c>
      <c r="B63" s="115">
        <v>46173</v>
      </c>
      <c r="C63" s="114" t="s">
        <v>2688</v>
      </c>
      <c r="D63" s="114" t="s">
        <v>2689</v>
      </c>
      <c r="E63" s="114" t="s">
        <v>326</v>
      </c>
      <c r="F63" s="114" t="s">
        <v>2690</v>
      </c>
      <c r="G63" s="118" t="s">
        <v>2923</v>
      </c>
      <c r="H63" s="114"/>
      <c r="I63" s="36"/>
      <c r="J63" s="114" t="s">
        <v>2632</v>
      </c>
      <c r="K63" s="114">
        <v>8</v>
      </c>
      <c r="L63" s="37">
        <v>23544</v>
      </c>
      <c r="M63" s="114" t="s">
        <v>2691</v>
      </c>
      <c r="N63" s="114"/>
      <c r="O63" s="113">
        <v>46173</v>
      </c>
      <c r="P63" s="114">
        <v>1</v>
      </c>
      <c r="Q63" s="114" t="s">
        <v>2634</v>
      </c>
      <c r="R63" s="114"/>
      <c r="S63" s="5" t="s">
        <v>3055</v>
      </c>
    </row>
    <row r="64" spans="1:19">
      <c r="A64" s="69" t="s">
        <v>3037</v>
      </c>
      <c r="B64" s="115">
        <v>46173</v>
      </c>
      <c r="C64" s="114" t="s">
        <v>2748</v>
      </c>
      <c r="D64" s="114" t="s">
        <v>2749</v>
      </c>
      <c r="E64" s="114" t="s">
        <v>326</v>
      </c>
      <c r="F64" s="114" t="s">
        <v>2750</v>
      </c>
      <c r="G64" s="118" t="s">
        <v>2936</v>
      </c>
      <c r="H64" s="114"/>
      <c r="I64" s="36"/>
      <c r="J64" s="114" t="s">
        <v>327</v>
      </c>
      <c r="K64" s="114">
        <v>8</v>
      </c>
      <c r="L64" s="37">
        <v>2448</v>
      </c>
      <c r="M64" s="114" t="s">
        <v>2751</v>
      </c>
      <c r="N64" s="114"/>
      <c r="O64" s="113">
        <v>46173</v>
      </c>
      <c r="P64" s="114">
        <v>1</v>
      </c>
      <c r="Q64" s="114" t="s">
        <v>2587</v>
      </c>
      <c r="R64" s="114"/>
      <c r="S64" s="5" t="s">
        <v>3055</v>
      </c>
    </row>
    <row r="65" spans="1:19">
      <c r="A65" s="69" t="s">
        <v>3038</v>
      </c>
      <c r="B65" s="115">
        <v>46173</v>
      </c>
      <c r="C65" s="114" t="s">
        <v>2715</v>
      </c>
      <c r="D65" s="114" t="s">
        <v>2699</v>
      </c>
      <c r="E65" s="114" t="s">
        <v>326</v>
      </c>
      <c r="F65" s="114" t="s">
        <v>2711</v>
      </c>
      <c r="G65" s="118" t="s">
        <v>2929</v>
      </c>
      <c r="H65" s="114"/>
      <c r="I65" s="36"/>
      <c r="J65" s="114" t="s">
        <v>2632</v>
      </c>
      <c r="K65" s="114">
        <v>8</v>
      </c>
      <c r="L65" s="37">
        <v>23800</v>
      </c>
      <c r="M65" s="114" t="s">
        <v>2716</v>
      </c>
      <c r="N65" s="114"/>
      <c r="O65" s="113">
        <v>46173</v>
      </c>
      <c r="P65" s="114">
        <v>1</v>
      </c>
      <c r="Q65" s="114" t="s">
        <v>2634</v>
      </c>
      <c r="R65" s="114"/>
      <c r="S65" s="5" t="s">
        <v>3055</v>
      </c>
    </row>
    <row r="66" spans="1:19">
      <c r="A66" s="69" t="s">
        <v>3039</v>
      </c>
      <c r="B66" s="115">
        <v>46173</v>
      </c>
      <c r="C66" s="114" t="s">
        <v>2702</v>
      </c>
      <c r="D66" s="114" t="s">
        <v>2699</v>
      </c>
      <c r="E66" s="114" t="s">
        <v>326</v>
      </c>
      <c r="F66" s="114" t="s">
        <v>2703</v>
      </c>
      <c r="G66" s="118" t="s">
        <v>2926</v>
      </c>
      <c r="H66" s="114"/>
      <c r="I66" s="36"/>
      <c r="J66" s="114" t="s">
        <v>2632</v>
      </c>
      <c r="K66" s="114">
        <v>8</v>
      </c>
      <c r="L66" s="37">
        <v>22780</v>
      </c>
      <c r="M66" s="114" t="s">
        <v>2704</v>
      </c>
      <c r="N66" s="114"/>
      <c r="O66" s="113">
        <v>46173</v>
      </c>
      <c r="P66" s="114">
        <v>1</v>
      </c>
      <c r="Q66" s="114" t="s">
        <v>2634</v>
      </c>
      <c r="R66" s="114"/>
      <c r="S66" s="5" t="s">
        <v>3055</v>
      </c>
    </row>
    <row r="67" spans="1:19">
      <c r="A67" s="69" t="s">
        <v>3040</v>
      </c>
      <c r="B67" s="115">
        <v>46173</v>
      </c>
      <c r="C67" s="114" t="s">
        <v>2698</v>
      </c>
      <c r="D67" s="114" t="s">
        <v>2699</v>
      </c>
      <c r="E67" s="114" t="s">
        <v>326</v>
      </c>
      <c r="F67" s="114" t="s">
        <v>2700</v>
      </c>
      <c r="G67" s="118" t="s">
        <v>2926</v>
      </c>
      <c r="H67" s="114"/>
      <c r="I67" s="36"/>
      <c r="J67" s="114" t="s">
        <v>2632</v>
      </c>
      <c r="K67" s="114">
        <v>8</v>
      </c>
      <c r="L67" s="37">
        <v>22780</v>
      </c>
      <c r="M67" s="114" t="s">
        <v>2701</v>
      </c>
      <c r="N67" s="114"/>
      <c r="O67" s="113">
        <v>46173</v>
      </c>
      <c r="P67" s="114">
        <v>1</v>
      </c>
      <c r="Q67" s="114" t="s">
        <v>2634</v>
      </c>
      <c r="R67" s="114"/>
      <c r="S67" s="5" t="s">
        <v>3055</v>
      </c>
    </row>
    <row r="68" spans="1:19">
      <c r="A68" s="69" t="s">
        <v>3041</v>
      </c>
      <c r="B68" s="115">
        <v>46173</v>
      </c>
      <c r="C68" s="116" t="s">
        <v>2904</v>
      </c>
      <c r="D68" s="116" t="s">
        <v>2699</v>
      </c>
      <c r="E68" s="116" t="s">
        <v>259</v>
      </c>
      <c r="F68" s="116" t="s">
        <v>2905</v>
      </c>
      <c r="G68" s="118" t="s">
        <v>2967</v>
      </c>
      <c r="H68" s="116"/>
      <c r="I68" s="106"/>
      <c r="J68" s="114" t="s">
        <v>2632</v>
      </c>
      <c r="K68" s="114">
        <v>8</v>
      </c>
      <c r="L68" s="37">
        <v>74964</v>
      </c>
      <c r="M68" s="114" t="s">
        <v>2906</v>
      </c>
      <c r="N68" s="114"/>
      <c r="O68" s="115">
        <v>46173</v>
      </c>
      <c r="P68" s="114">
        <v>4</v>
      </c>
      <c r="Q68" s="114" t="s">
        <v>2777</v>
      </c>
      <c r="R68" s="114"/>
      <c r="S68" s="5" t="s">
        <v>3055</v>
      </c>
    </row>
    <row r="69" spans="1:19">
      <c r="A69" s="69" t="s">
        <v>3042</v>
      </c>
      <c r="B69" s="115">
        <v>46173</v>
      </c>
      <c r="C69" s="116" t="s">
        <v>2819</v>
      </c>
      <c r="D69" s="116" t="s">
        <v>2820</v>
      </c>
      <c r="E69" s="116" t="s">
        <v>326</v>
      </c>
      <c r="F69" s="116" t="s">
        <v>2821</v>
      </c>
      <c r="G69" s="118" t="s">
        <v>2954</v>
      </c>
      <c r="H69" s="116"/>
      <c r="I69" s="36"/>
      <c r="J69" s="114" t="s">
        <v>2632</v>
      </c>
      <c r="K69" s="114">
        <v>8</v>
      </c>
      <c r="L69" s="37">
        <v>3675120</v>
      </c>
      <c r="M69" s="114" t="s">
        <v>2822</v>
      </c>
      <c r="N69" s="114"/>
      <c r="O69" s="115">
        <v>46173</v>
      </c>
      <c r="P69" s="114">
        <v>4</v>
      </c>
      <c r="Q69" s="114" t="s">
        <v>2725</v>
      </c>
      <c r="R69" s="114"/>
      <c r="S69" s="5" t="s">
        <v>3055</v>
      </c>
    </row>
    <row r="70" spans="1:19">
      <c r="A70" s="69" t="s">
        <v>3043</v>
      </c>
      <c r="B70" s="113">
        <v>46173</v>
      </c>
      <c r="C70" s="114" t="s">
        <v>2628</v>
      </c>
      <c r="D70" s="114" t="s">
        <v>2629</v>
      </c>
      <c r="E70" s="114" t="s">
        <v>326</v>
      </c>
      <c r="F70" s="114" t="s">
        <v>2630</v>
      </c>
      <c r="G70" s="118" t="s">
        <v>2631</v>
      </c>
      <c r="H70" s="114"/>
      <c r="I70" s="36"/>
      <c r="J70" s="114" t="s">
        <v>2632</v>
      </c>
      <c r="K70" s="114">
        <v>8</v>
      </c>
      <c r="L70" s="39">
        <v>17510</v>
      </c>
      <c r="M70" s="114" t="s">
        <v>2633</v>
      </c>
      <c r="N70" s="114"/>
      <c r="O70" s="115">
        <v>46173</v>
      </c>
      <c r="P70" s="114">
        <v>1</v>
      </c>
      <c r="Q70" s="114" t="s">
        <v>2634</v>
      </c>
      <c r="R70" s="114"/>
      <c r="S70" s="5" t="s">
        <v>3055</v>
      </c>
    </row>
    <row r="71" spans="1:19">
      <c r="A71" s="69" t="s">
        <v>3044</v>
      </c>
      <c r="B71" s="113">
        <v>46173</v>
      </c>
      <c r="C71" s="114" t="s">
        <v>2644</v>
      </c>
      <c r="D71" s="114" t="s">
        <v>2645</v>
      </c>
      <c r="E71" s="114" t="s">
        <v>326</v>
      </c>
      <c r="F71" s="114" t="s">
        <v>2646</v>
      </c>
      <c r="G71" s="118" t="s">
        <v>2913</v>
      </c>
      <c r="H71" s="114"/>
      <c r="I71" s="36"/>
      <c r="J71" s="114" t="s">
        <v>2632</v>
      </c>
      <c r="K71" s="114">
        <v>8</v>
      </c>
      <c r="L71" s="39">
        <v>11900</v>
      </c>
      <c r="M71" s="114" t="s">
        <v>2647</v>
      </c>
      <c r="N71" s="114"/>
      <c r="O71" s="115">
        <v>46173</v>
      </c>
      <c r="P71" s="114">
        <v>1</v>
      </c>
      <c r="Q71" s="114" t="s">
        <v>2634</v>
      </c>
      <c r="R71" s="114"/>
      <c r="S71" s="5" t="s">
        <v>3055</v>
      </c>
    </row>
    <row r="72" spans="1:19">
      <c r="A72" s="69" t="s">
        <v>3045</v>
      </c>
      <c r="B72" s="113">
        <v>46173</v>
      </c>
      <c r="C72" s="114" t="s">
        <v>2805</v>
      </c>
      <c r="D72" s="114" t="s">
        <v>2685</v>
      </c>
      <c r="E72" s="114" t="s">
        <v>326</v>
      </c>
      <c r="F72" s="114" t="s">
        <v>2806</v>
      </c>
      <c r="G72" s="118" t="s">
        <v>2950</v>
      </c>
      <c r="H72" s="114"/>
      <c r="I72" s="36"/>
      <c r="J72" s="114" t="s">
        <v>2632</v>
      </c>
      <c r="K72" s="114">
        <v>8</v>
      </c>
      <c r="L72" s="37">
        <v>23800</v>
      </c>
      <c r="M72" s="114" t="s">
        <v>2807</v>
      </c>
      <c r="N72" s="114"/>
      <c r="O72" s="113">
        <v>46173</v>
      </c>
      <c r="P72" s="114">
        <v>1</v>
      </c>
      <c r="Q72" s="114" t="s">
        <v>2725</v>
      </c>
      <c r="R72" s="114"/>
      <c r="S72" s="5" t="s">
        <v>3055</v>
      </c>
    </row>
    <row r="73" spans="1:19">
      <c r="A73" s="69" t="s">
        <v>3046</v>
      </c>
      <c r="B73" s="115">
        <v>46173</v>
      </c>
      <c r="C73" s="116" t="s">
        <v>2845</v>
      </c>
      <c r="D73" s="116" t="s">
        <v>2685</v>
      </c>
      <c r="E73" s="116" t="s">
        <v>326</v>
      </c>
      <c r="F73" s="116" t="s">
        <v>2846</v>
      </c>
      <c r="G73" s="118" t="s">
        <v>2956</v>
      </c>
      <c r="H73" s="116"/>
      <c r="I73" s="106"/>
      <c r="J73" s="114" t="s">
        <v>2632</v>
      </c>
      <c r="K73" s="114">
        <v>8</v>
      </c>
      <c r="L73" s="37">
        <v>142800</v>
      </c>
      <c r="M73" s="114" t="s">
        <v>2847</v>
      </c>
      <c r="N73" s="114"/>
      <c r="O73" s="115">
        <v>46173</v>
      </c>
      <c r="P73" s="114">
        <v>4</v>
      </c>
      <c r="Q73" s="114" t="s">
        <v>2725</v>
      </c>
      <c r="R73" s="114"/>
      <c r="S73" s="5" t="s">
        <v>3055</v>
      </c>
    </row>
    <row r="74" spans="1:19">
      <c r="A74" s="69" t="s">
        <v>3047</v>
      </c>
      <c r="B74" s="115">
        <v>46173</v>
      </c>
      <c r="C74" s="116" t="s">
        <v>2836</v>
      </c>
      <c r="D74" s="116" t="s">
        <v>2832</v>
      </c>
      <c r="E74" s="116" t="s">
        <v>326</v>
      </c>
      <c r="F74" s="116" t="s">
        <v>2837</v>
      </c>
      <c r="G74" s="118" t="s">
        <v>2838</v>
      </c>
      <c r="H74" s="116"/>
      <c r="I74" s="106"/>
      <c r="J74" s="114" t="s">
        <v>2632</v>
      </c>
      <c r="K74" s="114">
        <v>8</v>
      </c>
      <c r="L74" s="37">
        <v>321600</v>
      </c>
      <c r="M74" s="114" t="s">
        <v>2839</v>
      </c>
      <c r="N74" s="114"/>
      <c r="O74" s="115">
        <v>46173</v>
      </c>
      <c r="P74" s="114">
        <v>4</v>
      </c>
      <c r="Q74" s="114" t="s">
        <v>2725</v>
      </c>
      <c r="R74" s="114"/>
      <c r="S74" s="5" t="s">
        <v>3055</v>
      </c>
    </row>
    <row r="75" spans="1:19">
      <c r="A75" s="69" t="s">
        <v>3048</v>
      </c>
      <c r="B75" s="115">
        <v>46173</v>
      </c>
      <c r="C75" s="116" t="s">
        <v>2831</v>
      </c>
      <c r="D75" s="116" t="s">
        <v>2832</v>
      </c>
      <c r="E75" s="116" t="s">
        <v>326</v>
      </c>
      <c r="F75" s="116" t="s">
        <v>2833</v>
      </c>
      <c r="G75" s="118" t="s">
        <v>2834</v>
      </c>
      <c r="H75" s="116"/>
      <c r="I75" s="106"/>
      <c r="J75" s="114" t="s">
        <v>2632</v>
      </c>
      <c r="K75" s="114">
        <v>8</v>
      </c>
      <c r="L75" s="37">
        <v>321600</v>
      </c>
      <c r="M75" s="114" t="s">
        <v>2835</v>
      </c>
      <c r="N75" s="114"/>
      <c r="O75" s="115">
        <v>46173</v>
      </c>
      <c r="P75" s="114">
        <v>4</v>
      </c>
      <c r="Q75" s="114" t="s">
        <v>2725</v>
      </c>
      <c r="R75" s="114"/>
      <c r="S75" s="5" t="s">
        <v>3055</v>
      </c>
    </row>
    <row r="76" spans="1:19">
      <c r="A76" s="69" t="s">
        <v>3049</v>
      </c>
      <c r="B76" s="115">
        <v>46173</v>
      </c>
      <c r="C76" s="116" t="s">
        <v>2882</v>
      </c>
      <c r="D76" s="116" t="s">
        <v>2832</v>
      </c>
      <c r="E76" s="116" t="s">
        <v>326</v>
      </c>
      <c r="F76" s="116" t="s">
        <v>2883</v>
      </c>
      <c r="G76" s="118" t="s">
        <v>2884</v>
      </c>
      <c r="H76" s="116"/>
      <c r="I76" s="106"/>
      <c r="J76" s="114" t="s">
        <v>2632</v>
      </c>
      <c r="K76" s="114">
        <v>8</v>
      </c>
      <c r="L76" s="37">
        <v>306000</v>
      </c>
      <c r="M76" s="114" t="s">
        <v>2885</v>
      </c>
      <c r="N76" s="114"/>
      <c r="O76" s="115">
        <v>46173</v>
      </c>
      <c r="P76" s="114">
        <v>4</v>
      </c>
      <c r="Q76" s="114" t="s">
        <v>2725</v>
      </c>
      <c r="R76" s="114"/>
      <c r="S76" s="5" t="s">
        <v>3055</v>
      </c>
    </row>
    <row r="77" spans="1:19">
      <c r="A77" s="69" t="s">
        <v>3050</v>
      </c>
      <c r="B77" s="115">
        <v>46173</v>
      </c>
      <c r="C77" s="116" t="s">
        <v>2808</v>
      </c>
      <c r="D77" s="116" t="s">
        <v>2685</v>
      </c>
      <c r="E77" s="116" t="s">
        <v>326</v>
      </c>
      <c r="F77" s="116" t="s">
        <v>2809</v>
      </c>
      <c r="G77" s="118" t="s">
        <v>2951</v>
      </c>
      <c r="H77" s="116"/>
      <c r="I77" s="36"/>
      <c r="J77" s="114" t="s">
        <v>2632</v>
      </c>
      <c r="K77" s="114">
        <v>8</v>
      </c>
      <c r="L77" s="37">
        <v>22780</v>
      </c>
      <c r="M77" s="114" t="s">
        <v>2810</v>
      </c>
      <c r="N77" s="114"/>
      <c r="O77" s="113">
        <v>46173</v>
      </c>
      <c r="P77" s="114">
        <v>1</v>
      </c>
      <c r="Q77" s="114" t="s">
        <v>2777</v>
      </c>
      <c r="R77" s="114"/>
      <c r="S77" s="5" t="s">
        <v>3055</v>
      </c>
    </row>
    <row r="78" spans="1:19">
      <c r="A78" s="69" t="s">
        <v>3051</v>
      </c>
      <c r="B78" s="115">
        <v>46173</v>
      </c>
      <c r="C78" s="114" t="s">
        <v>2684</v>
      </c>
      <c r="D78" s="114" t="s">
        <v>2685</v>
      </c>
      <c r="E78" s="114" t="s">
        <v>326</v>
      </c>
      <c r="F78" s="114" t="s">
        <v>2686</v>
      </c>
      <c r="G78" s="118" t="s">
        <v>2922</v>
      </c>
      <c r="H78" s="114"/>
      <c r="I78" s="36"/>
      <c r="J78" s="114" t="s">
        <v>2632</v>
      </c>
      <c r="K78" s="114">
        <v>8</v>
      </c>
      <c r="L78" s="37">
        <v>33670</v>
      </c>
      <c r="M78" s="114" t="s">
        <v>2687</v>
      </c>
      <c r="N78" s="114"/>
      <c r="O78" s="113">
        <v>46173</v>
      </c>
      <c r="P78" s="114">
        <v>1</v>
      </c>
      <c r="Q78" s="114"/>
      <c r="R78" s="114"/>
      <c r="S78" s="5" t="s">
        <v>3055</v>
      </c>
    </row>
    <row r="79" spans="1:19">
      <c r="A79" s="69" t="s">
        <v>3052</v>
      </c>
      <c r="B79" s="115">
        <v>46173</v>
      </c>
      <c r="C79" s="116" t="s">
        <v>2823</v>
      </c>
      <c r="D79" s="116" t="s">
        <v>2608</v>
      </c>
      <c r="E79" s="116" t="s">
        <v>326</v>
      </c>
      <c r="F79" s="116" t="s">
        <v>2824</v>
      </c>
      <c r="G79" s="118" t="s">
        <v>2955</v>
      </c>
      <c r="H79" s="116"/>
      <c r="I79" s="36"/>
      <c r="J79" s="114" t="s">
        <v>2632</v>
      </c>
      <c r="K79" s="114">
        <v>8</v>
      </c>
      <c r="L79" s="37">
        <v>923088</v>
      </c>
      <c r="M79" s="114" t="s">
        <v>2825</v>
      </c>
      <c r="N79" s="114"/>
      <c r="O79" s="113">
        <v>46173</v>
      </c>
      <c r="P79" s="114">
        <v>4</v>
      </c>
      <c r="Q79" s="114" t="s">
        <v>2725</v>
      </c>
      <c r="R79" s="114"/>
      <c r="S79" s="5" t="s">
        <v>3055</v>
      </c>
    </row>
    <row r="80" spans="1:19">
      <c r="A80" s="69" t="s">
        <v>3053</v>
      </c>
      <c r="B80" s="115">
        <v>46112</v>
      </c>
      <c r="C80" s="116" t="s">
        <v>2969</v>
      </c>
      <c r="D80" s="116" t="s">
        <v>2870</v>
      </c>
      <c r="E80" s="116" t="s">
        <v>259</v>
      </c>
      <c r="F80" s="116" t="s">
        <v>2970</v>
      </c>
      <c r="G80" s="118" t="s">
        <v>2971</v>
      </c>
      <c r="H80" s="116"/>
      <c r="I80" s="106"/>
      <c r="J80" s="114" t="s">
        <v>344</v>
      </c>
      <c r="K80" s="114" t="s">
        <v>344</v>
      </c>
      <c r="L80" s="37" t="s">
        <v>344</v>
      </c>
      <c r="M80" s="114" t="s">
        <v>344</v>
      </c>
      <c r="N80" s="114"/>
      <c r="O80" s="115" t="s">
        <v>344</v>
      </c>
      <c r="P80" s="114"/>
      <c r="Q80" s="114" t="s">
        <v>2972</v>
      </c>
      <c r="R80" s="114"/>
    </row>
    <row r="81" spans="1:18">
      <c r="A81" s="69" t="s">
        <v>3054</v>
      </c>
      <c r="B81" s="115">
        <v>46112</v>
      </c>
      <c r="C81" s="116" t="s">
        <v>2973</v>
      </c>
      <c r="D81" s="116" t="s">
        <v>2586</v>
      </c>
      <c r="E81" s="116" t="s">
        <v>326</v>
      </c>
      <c r="F81" s="116" t="s">
        <v>2974</v>
      </c>
      <c r="G81" s="118" t="s">
        <v>2975</v>
      </c>
      <c r="H81" s="116"/>
      <c r="I81" s="106"/>
      <c r="J81" s="114" t="s">
        <v>2632</v>
      </c>
      <c r="K81" s="114">
        <v>8</v>
      </c>
      <c r="L81" s="37">
        <v>17510</v>
      </c>
      <c r="M81" s="114" t="s">
        <v>2976</v>
      </c>
      <c r="N81" s="114"/>
      <c r="O81" s="115">
        <v>46173</v>
      </c>
      <c r="P81" s="114">
        <v>1</v>
      </c>
      <c r="Q81" s="114" t="s">
        <v>2634</v>
      </c>
      <c r="R81" s="114"/>
    </row>
    <row r="82" spans="1:18" s="7" customFormat="1">
      <c r="A82" s="69"/>
      <c r="B82" s="113"/>
      <c r="C82" s="114"/>
      <c r="D82" s="114"/>
      <c r="E82" s="114"/>
      <c r="F82" s="114"/>
      <c r="G82" s="118"/>
      <c r="H82" s="114"/>
      <c r="I82" s="114"/>
      <c r="J82" s="114"/>
      <c r="K82" s="114"/>
      <c r="L82" s="37"/>
      <c r="M82" s="114"/>
      <c r="N82" s="114"/>
      <c r="O82" s="113"/>
      <c r="P82" s="114"/>
      <c r="Q82" s="114"/>
      <c r="R82" s="114"/>
    </row>
    <row r="83" spans="1:18">
      <c r="A83" s="69"/>
      <c r="B83" s="113"/>
      <c r="C83" s="114"/>
      <c r="D83" s="114"/>
      <c r="E83" s="114"/>
      <c r="F83" s="114"/>
      <c r="G83" s="118"/>
      <c r="H83" s="114"/>
      <c r="I83" s="36"/>
      <c r="J83" s="114"/>
      <c r="K83" s="114"/>
      <c r="L83" s="39"/>
      <c r="M83" s="114"/>
      <c r="N83" s="114"/>
      <c r="O83" s="115"/>
      <c r="P83" s="114"/>
      <c r="Q83" s="114"/>
      <c r="R83" s="114"/>
    </row>
    <row r="84" spans="1:18">
      <c r="A84" s="69"/>
      <c r="B84" s="113"/>
      <c r="C84" s="114"/>
      <c r="D84" s="114"/>
      <c r="E84" s="114"/>
      <c r="F84" s="114"/>
      <c r="G84" s="118"/>
      <c r="H84" s="114"/>
      <c r="I84" s="36"/>
      <c r="J84" s="114"/>
      <c r="K84" s="114"/>
      <c r="L84" s="37"/>
      <c r="M84" s="114"/>
      <c r="N84" s="114"/>
      <c r="O84" s="113"/>
      <c r="P84" s="114"/>
      <c r="Q84" s="114"/>
      <c r="R84" s="114"/>
    </row>
    <row r="85" spans="1:18">
      <c r="A85" s="1"/>
      <c r="B85" s="46"/>
      <c r="C85" s="47"/>
      <c r="D85" s="47"/>
      <c r="E85" s="47"/>
      <c r="F85" s="47"/>
      <c r="G85" s="47"/>
      <c r="H85" s="47"/>
      <c r="I85" s="48"/>
      <c r="J85" s="47"/>
      <c r="K85" s="47"/>
      <c r="L85" s="71"/>
      <c r="M85" s="47"/>
      <c r="N85" s="47"/>
      <c r="O85" s="72"/>
      <c r="P85" s="47"/>
      <c r="Q85" s="47"/>
      <c r="R85" s="47"/>
    </row>
    <row r="86" spans="1:18">
      <c r="A86" s="1"/>
      <c r="B86" s="46"/>
      <c r="C86" s="47"/>
      <c r="D86" s="47"/>
      <c r="E86" s="47"/>
      <c r="F86" s="47"/>
      <c r="G86" s="47"/>
      <c r="H86" s="47"/>
      <c r="I86" s="48"/>
      <c r="J86" s="47"/>
      <c r="K86" s="47"/>
      <c r="L86" s="49"/>
      <c r="M86" s="47"/>
      <c r="N86" s="47"/>
      <c r="O86" s="46"/>
      <c r="P86" s="47"/>
      <c r="Q86" s="47"/>
      <c r="R86" s="47"/>
    </row>
    <row r="87" spans="1:18">
      <c r="A87" s="1"/>
      <c r="B87" s="46"/>
      <c r="C87" s="47"/>
      <c r="D87" s="47"/>
      <c r="E87" s="47"/>
      <c r="F87" s="47"/>
      <c r="G87" s="47"/>
      <c r="H87" s="47"/>
      <c r="I87" s="48"/>
      <c r="J87" s="47"/>
      <c r="K87" s="47"/>
      <c r="L87" s="49"/>
      <c r="M87" s="47"/>
      <c r="N87" s="47"/>
      <c r="O87" s="46"/>
      <c r="P87" s="47"/>
      <c r="Q87" s="47"/>
      <c r="R87" s="47"/>
    </row>
    <row r="94" spans="1:18" ht="19.5">
      <c r="G94" s="31" t="s">
        <v>324</v>
      </c>
    </row>
    <row r="97" spans="7:7">
      <c r="G97" s="5" t="s">
        <v>330</v>
      </c>
    </row>
  </sheetData>
  <sortState xmlns:xlrd2="http://schemas.microsoft.com/office/spreadsheetml/2017/richdata2" ref="B4:R79">
    <sortCondition ref="C4:C79"/>
  </sortState>
  <phoneticPr fontId="0"/>
  <conditionalFormatting sqref="J94:J99">
    <cfRule type="duplicateValues" dxfId="15" priority="2"/>
  </conditionalFormatting>
  <conditionalFormatting sqref="G97">
    <cfRule type="duplicateValues" dxfId="14" priority="1"/>
  </conditionalFormatting>
  <conditionalFormatting sqref="G100:G1048576 G1:G3 G83:G93">
    <cfRule type="duplicateValues" dxfId="13" priority="50"/>
  </conditionalFormatting>
  <conditionalFormatting sqref="G4:G82">
    <cfRule type="duplicateValues" dxfId="12" priority="55"/>
  </conditionalFormatting>
  <hyperlinks>
    <hyperlink ref="A28" r:id="rId1" xr:uid="{0EC8FB2B-9963-4700-B8D7-DB030D0F88C1}"/>
    <hyperlink ref="A4" r:id="rId2" xr:uid="{EBCB26A8-644A-4345-830E-AF9EA9CD1206}"/>
    <hyperlink ref="A5" r:id="rId3" xr:uid="{EBC763AB-AD0B-4139-B469-34037161673A}"/>
    <hyperlink ref="A6" r:id="rId4" xr:uid="{4D83AA48-41F4-4429-95A8-2EF8054C2353}"/>
    <hyperlink ref="A7" r:id="rId5" xr:uid="{EC924C71-BF71-4A79-BF5D-A8E1C40AEA3C}"/>
    <hyperlink ref="A8" r:id="rId6" xr:uid="{D637A853-4E4C-4806-B310-FBDA09EA36F8}"/>
    <hyperlink ref="A9" r:id="rId7" xr:uid="{911A80A4-8D55-4588-921F-1CE09F2BD240}"/>
    <hyperlink ref="A10" r:id="rId8" xr:uid="{6D7E5E41-ECD5-4EFB-8D6D-9942BC4E7CAF}"/>
    <hyperlink ref="A11" r:id="rId9" xr:uid="{A2D91076-BF42-4CAF-ACDA-66D2D6278C1E}"/>
    <hyperlink ref="A12" r:id="rId10" xr:uid="{A25E54D1-BC94-4414-BA0A-96474A36F04A}"/>
    <hyperlink ref="A13" r:id="rId11" xr:uid="{FA2B4692-94CE-40F7-B632-7F53E809AFAB}"/>
    <hyperlink ref="A14" r:id="rId12" xr:uid="{E920531F-1876-4508-B1F0-41DF7B6252A9}"/>
    <hyperlink ref="A15" r:id="rId13" xr:uid="{5F1B440D-8885-4271-8AF1-406B2ABCEFD3}"/>
    <hyperlink ref="A16" r:id="rId14" xr:uid="{6673D819-5152-4611-99AF-B72619089D34}"/>
    <hyperlink ref="A17" r:id="rId15" xr:uid="{7F2F1497-4B8A-4208-BA3F-7081CFD62765}"/>
    <hyperlink ref="A18" r:id="rId16" xr:uid="{A6A14CD4-00A3-4683-A3A7-380D2BF36658}"/>
    <hyperlink ref="A19" r:id="rId17" xr:uid="{EC85FE5E-C87A-4CE8-B35F-9D306DB8A1AF}"/>
    <hyperlink ref="A20" r:id="rId18" xr:uid="{275E0E80-DECC-43A0-BAFB-31C55E96CF9C}"/>
    <hyperlink ref="A21" r:id="rId19" xr:uid="{137C0A27-EA68-4ECF-9523-BF0E070F4E58}"/>
    <hyperlink ref="A22" r:id="rId20" xr:uid="{CFC270D8-9C27-42DE-9D89-3A8BEE122708}"/>
    <hyperlink ref="A23" r:id="rId21" xr:uid="{293A5364-19E0-41DB-9F9E-DCC56D21D94C}"/>
    <hyperlink ref="A24" r:id="rId22" xr:uid="{0D6BAD1B-0F1C-4160-975B-0F2B0E7687A2}"/>
    <hyperlink ref="A25" r:id="rId23" xr:uid="{AE355B7D-E302-4D16-820D-AC33F6DB3917}"/>
    <hyperlink ref="A26" r:id="rId24" xr:uid="{A1B016AE-79D6-4153-B6F5-FE2E8B0CB1FF}"/>
    <hyperlink ref="A27" r:id="rId25" xr:uid="{D9320FD2-633B-4449-A051-483104FA5D66}"/>
    <hyperlink ref="A29" r:id="rId26" xr:uid="{2252BBC9-023C-4EF0-B4D2-C5F90CF01BA4}"/>
    <hyperlink ref="A30" r:id="rId27" xr:uid="{8E650988-BB46-4DEB-922E-1B3EAF6021F4}"/>
    <hyperlink ref="A31" r:id="rId28" xr:uid="{798FE6EE-0E5F-42B6-88C5-B0E818619E0C}"/>
    <hyperlink ref="A32" r:id="rId29" xr:uid="{FA94F1BA-2578-481B-9F5C-03FF6F88ADB6}"/>
    <hyperlink ref="A33" r:id="rId30" xr:uid="{25263081-7E77-421D-98CA-DF04562F9DBA}"/>
    <hyperlink ref="A34" r:id="rId31" xr:uid="{0622FD60-D600-44C6-96E2-AD8A0EA8D8EC}"/>
    <hyperlink ref="A35" r:id="rId32" xr:uid="{7617F92B-647B-4366-AE49-4DEE7D9E4468}"/>
    <hyperlink ref="A36" r:id="rId33" xr:uid="{CC38FC12-4F91-4151-9933-EE8F67AF4FD7}"/>
    <hyperlink ref="A37" r:id="rId34" xr:uid="{DD2D2C31-F9B9-4ECB-BA96-B25770248B67}"/>
    <hyperlink ref="A38" r:id="rId35" xr:uid="{FCA1BCDC-E761-4811-9B97-D880BDE11F86}"/>
    <hyperlink ref="A39" r:id="rId36" xr:uid="{37AA3E9F-1D87-4EDC-AFBE-82A05619642E}"/>
    <hyperlink ref="A40" r:id="rId37" xr:uid="{B163168C-DA3B-46B1-9943-CF9C20497C75}"/>
    <hyperlink ref="A41" r:id="rId38" xr:uid="{391A0645-8CE0-4155-AACF-00DD0C765CAA}"/>
    <hyperlink ref="A42" r:id="rId39" xr:uid="{942C6F43-CE59-4043-B546-772E13BDE6F4}"/>
    <hyperlink ref="A43" r:id="rId40" xr:uid="{8587C9DB-3350-44DC-80D3-45D90C775943}"/>
    <hyperlink ref="A44" r:id="rId41" xr:uid="{C80985E8-400C-4C77-8FF1-0161ADBF8395}"/>
    <hyperlink ref="A45" r:id="rId42" xr:uid="{AB5A4163-FF8B-473A-8D4F-6875EC0B3CB5}"/>
    <hyperlink ref="A46" r:id="rId43" xr:uid="{6EB48F4B-9CA9-41C3-B45F-3172DF7AC373}"/>
    <hyperlink ref="A47" r:id="rId44" xr:uid="{E6926A00-30E0-478A-B5EA-4CFBB26BBB98}"/>
    <hyperlink ref="A48" r:id="rId45" xr:uid="{CFF1DDE1-6571-44EF-9C46-1B1A8FC8C978}"/>
    <hyperlink ref="A49" r:id="rId46" xr:uid="{20AE3175-3A0D-40BF-B032-0ACB17D1B4DA}"/>
    <hyperlink ref="A50" r:id="rId47" xr:uid="{4B325200-F89D-4897-AE5F-939285E0E120}"/>
    <hyperlink ref="A51" r:id="rId48" xr:uid="{5CE73F1A-F428-475B-8CAD-F6DC11554276}"/>
    <hyperlink ref="A52" r:id="rId49" xr:uid="{978BBA3D-FA54-4AD7-866B-1B8F266FA273}"/>
    <hyperlink ref="A53" r:id="rId50" xr:uid="{BC68CD1D-944F-427B-B66B-A1BE499F12CC}"/>
    <hyperlink ref="A54" r:id="rId51" xr:uid="{A8EEB01F-D5B1-4D5E-BC34-7A46C83D6A98}"/>
    <hyperlink ref="A55" r:id="rId52" xr:uid="{9E4736D4-60F2-4909-B7D9-33ED08CFC2E1}"/>
    <hyperlink ref="A56" r:id="rId53" xr:uid="{E53517CB-7882-4D09-9107-1AE3C12C2C02}"/>
    <hyperlink ref="A57" r:id="rId54" xr:uid="{E2C9352C-F9FA-4990-BF46-CD96049B70B1}"/>
    <hyperlink ref="A58" r:id="rId55" xr:uid="{4D8CB87C-AA29-49EC-A627-30BA8A001797}"/>
    <hyperlink ref="A59" r:id="rId56" xr:uid="{A9E9E0CA-A955-4C11-BB13-8780D22B0C2B}"/>
    <hyperlink ref="A60" r:id="rId57" xr:uid="{DAB57EBD-A98F-4999-A1C4-2D96798D99DC}"/>
    <hyperlink ref="A61" r:id="rId58" xr:uid="{4E49B890-05C4-4710-9427-61A02EED9E98}"/>
    <hyperlink ref="A62" r:id="rId59" xr:uid="{ABC38CB8-A8AD-4654-A7A3-498E87371706}"/>
    <hyperlink ref="A63" r:id="rId60" xr:uid="{01AA4BA6-F746-412A-94F1-FE0FA578DA5A}"/>
    <hyperlink ref="A64" r:id="rId61" xr:uid="{DACE909C-D091-40D6-9625-BEB382C1B39D}"/>
    <hyperlink ref="A65" r:id="rId62" xr:uid="{15816890-BA14-48C4-A2CF-877F1EC59CA0}"/>
    <hyperlink ref="A66" r:id="rId63" xr:uid="{006D63F2-E996-4E2C-A46D-F5282AA25A98}"/>
    <hyperlink ref="A67" r:id="rId64" xr:uid="{0778371E-27C9-43E9-94B5-2AD58B689F79}"/>
    <hyperlink ref="A68" r:id="rId65" xr:uid="{FA7BF6D6-E4AA-4597-A247-328A6C5A8FC6}"/>
    <hyperlink ref="A69" r:id="rId66" xr:uid="{0E466980-A2C3-4E24-AF52-6774DF8048CC}"/>
    <hyperlink ref="A70" r:id="rId67" xr:uid="{D3BDB947-195D-4CB1-B05E-EC669498C49F}"/>
    <hyperlink ref="A71" r:id="rId68" xr:uid="{EDCEC597-1F51-4CDF-8C4F-79D30FC138EA}"/>
    <hyperlink ref="A72" r:id="rId69" xr:uid="{98491A01-5E4C-4C8B-B85D-891C1631220B}"/>
    <hyperlink ref="A73" r:id="rId70" xr:uid="{585C4E00-0540-4C52-B551-5A29031015C4}"/>
    <hyperlink ref="A74" r:id="rId71" xr:uid="{E43876AF-7994-44E7-8CB8-7B83CB27597B}"/>
    <hyperlink ref="A75" r:id="rId72" xr:uid="{B698577B-313F-4206-A13E-12FB0AD0F1A2}"/>
    <hyperlink ref="A76" r:id="rId73" xr:uid="{DBA40349-DCE5-4189-B5B7-7DE8DDA6515B}"/>
    <hyperlink ref="A77" r:id="rId74" xr:uid="{A69ABE87-CAEE-412F-A5B7-922CE9C7547F}"/>
    <hyperlink ref="A78" r:id="rId75" xr:uid="{8780EFB5-6851-4F00-9A89-995F574C4331}"/>
    <hyperlink ref="A79" r:id="rId76" xr:uid="{463088F1-AF3A-4BA8-A620-01E57130E763}"/>
    <hyperlink ref="A80" r:id="rId77" xr:uid="{FDC56DAE-EE15-4315-9B09-C2F43A574914}"/>
    <hyperlink ref="A81" r:id="rId78" xr:uid="{E777410A-BC44-4796-909D-3C1A38ED0856}"/>
  </hyperlinks>
  <pageMargins left="0.41" right="0.47" top="0.75" bottom="0.75" header="0.3" footer="0.3"/>
  <pageSetup paperSize="9" orientation="landscape" r:id="rId79"/>
  <drawing r:id="rId80"/>
  <legacyDrawing r:id="rId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2" name="Button 1">
              <controlPr defaultSize="0" print="0" autoFill="0" autoPict="0" macro="[0]!CancelWork_Mail">
                <anchor moveWithCells="1" sizeWithCells="1">
                  <from>
                    <xdr:col>0</xdr:col>
                    <xdr:colOff>133350</xdr:colOff>
                    <xdr:row>0</xdr:row>
                    <xdr:rowOff>38100</xdr:rowOff>
                  </from>
                  <to>
                    <xdr:col>1</xdr:col>
                    <xdr:colOff>390525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P24"/>
  <sheetViews>
    <sheetView workbookViewId="0">
      <selection activeCell="L18" sqref="L18"/>
    </sheetView>
  </sheetViews>
  <sheetFormatPr defaultColWidth="9" defaultRowHeight="18.75"/>
  <cols>
    <col min="1" max="16384" width="9" style="4"/>
  </cols>
  <sheetData>
    <row r="2" spans="2:16">
      <c r="B2" s="5" t="s">
        <v>18</v>
      </c>
      <c r="C2" s="5" t="s">
        <v>107</v>
      </c>
      <c r="D2" s="5"/>
      <c r="E2" s="5"/>
      <c r="F2" s="5"/>
      <c r="G2" s="5"/>
      <c r="H2" s="5"/>
      <c r="I2" s="5"/>
      <c r="J2" s="5"/>
    </row>
    <row r="3" spans="2:16">
      <c r="B3" s="5"/>
      <c r="C3" s="5"/>
      <c r="D3" s="5"/>
      <c r="E3" s="5"/>
      <c r="F3" s="5"/>
      <c r="G3" s="5"/>
      <c r="H3" s="5"/>
      <c r="I3" s="5"/>
      <c r="J3" s="5"/>
      <c r="K3" s="5" t="s">
        <v>47</v>
      </c>
      <c r="L3" s="5"/>
      <c r="M3" s="5"/>
      <c r="N3" s="5"/>
    </row>
    <row r="4" spans="2:16">
      <c r="B4" s="5" t="s">
        <v>19</v>
      </c>
      <c r="C4" s="5" t="s">
        <v>257</v>
      </c>
      <c r="D4" s="5"/>
      <c r="E4" s="5"/>
      <c r="F4" s="5"/>
      <c r="G4" s="5"/>
      <c r="H4" s="5"/>
      <c r="I4" s="5"/>
      <c r="J4" s="5"/>
      <c r="K4" s="5" t="s">
        <v>2079</v>
      </c>
      <c r="L4" s="5" t="s">
        <v>2080</v>
      </c>
      <c r="M4" s="5"/>
      <c r="N4" s="5"/>
    </row>
    <row r="5" spans="2:16">
      <c r="B5" s="5"/>
      <c r="C5" s="5" t="s">
        <v>2077</v>
      </c>
      <c r="D5" s="5"/>
      <c r="E5" s="5"/>
      <c r="F5" s="5"/>
      <c r="G5" s="5"/>
      <c r="H5" s="5"/>
      <c r="I5" s="5"/>
      <c r="J5" s="5"/>
      <c r="K5" s="5"/>
      <c r="L5" s="5" t="s">
        <v>106</v>
      </c>
      <c r="M5" s="5"/>
      <c r="N5" s="5"/>
    </row>
    <row r="6" spans="2:16">
      <c r="B6" s="5"/>
      <c r="C6" s="5"/>
      <c r="D6" s="5"/>
      <c r="E6" s="5"/>
      <c r="F6" s="5"/>
      <c r="G6" s="5"/>
      <c r="H6" s="5"/>
      <c r="I6" s="5"/>
      <c r="J6" s="5"/>
      <c r="K6" s="5"/>
      <c r="L6" s="7" t="s">
        <v>108</v>
      </c>
      <c r="M6" s="5"/>
      <c r="N6" s="5"/>
    </row>
    <row r="7" spans="2:16">
      <c r="B7" s="5"/>
      <c r="C7" s="5" t="s">
        <v>20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2:16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2:16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>
      <c r="B10" s="5"/>
      <c r="C10" s="5"/>
      <c r="D10" s="5"/>
      <c r="E10" s="5"/>
      <c r="F10" s="5"/>
      <c r="G10" s="5"/>
      <c r="H10" s="5"/>
      <c r="I10" s="5"/>
      <c r="J10" s="5"/>
      <c r="L10"/>
      <c r="P10"/>
    </row>
    <row r="11" spans="2:16">
      <c r="B11" s="5"/>
      <c r="C11" s="5"/>
      <c r="D11" s="5"/>
      <c r="E11" s="5"/>
      <c r="F11" s="5"/>
      <c r="G11" s="5"/>
      <c r="H11" s="5"/>
      <c r="I11" s="5"/>
      <c r="J11" s="5"/>
      <c r="L11"/>
    </row>
    <row r="12" spans="2:16">
      <c r="B12" s="5"/>
      <c r="C12" s="5"/>
      <c r="D12" s="5" t="s">
        <v>21</v>
      </c>
      <c r="E12" s="5" t="s">
        <v>258</v>
      </c>
      <c r="F12" s="5"/>
      <c r="G12" s="5"/>
      <c r="H12" s="5"/>
      <c r="I12" s="5"/>
      <c r="J12" s="5"/>
    </row>
    <row r="13" spans="2:16">
      <c r="B13" s="5"/>
      <c r="C13" s="5"/>
      <c r="D13" s="5"/>
      <c r="E13" s="5" t="s">
        <v>273</v>
      </c>
      <c r="F13" s="5"/>
      <c r="G13" s="5"/>
      <c r="H13" s="5"/>
      <c r="I13" s="5"/>
      <c r="J13" s="5"/>
    </row>
    <row r="14" spans="2:16">
      <c r="B14" s="5"/>
      <c r="C14" s="5"/>
      <c r="D14" s="5"/>
      <c r="E14" s="6" t="s">
        <v>2078</v>
      </c>
      <c r="J14" s="5"/>
    </row>
    <row r="15" spans="2:16">
      <c r="B15" s="5"/>
      <c r="C15" s="5"/>
      <c r="D15" s="5"/>
      <c r="E15" s="6" t="s">
        <v>296</v>
      </c>
      <c r="G15" s="7" t="s">
        <v>295</v>
      </c>
      <c r="J15" s="5"/>
    </row>
    <row r="16" spans="2:16">
      <c r="B16" s="5"/>
      <c r="C16" s="5"/>
      <c r="D16" s="5"/>
      <c r="E16" s="5" t="s">
        <v>274</v>
      </c>
      <c r="J16" s="5"/>
    </row>
    <row r="17" spans="2:10">
      <c r="B17" s="5"/>
      <c r="C17" s="5"/>
      <c r="D17" s="5"/>
      <c r="E17" s="5"/>
      <c r="F17" s="5"/>
      <c r="G17" s="5"/>
      <c r="H17" s="5"/>
      <c r="I17" s="5"/>
      <c r="J17" s="5"/>
    </row>
    <row r="18" spans="2:10">
      <c r="B18" s="5"/>
      <c r="C18" s="5"/>
      <c r="D18" s="5"/>
      <c r="E18" s="5"/>
      <c r="F18" s="5"/>
      <c r="G18" s="5"/>
      <c r="H18" s="5"/>
      <c r="I18" s="5"/>
      <c r="J18" s="5"/>
    </row>
    <row r="19" spans="2:10">
      <c r="B19" s="5"/>
      <c r="C19" s="5"/>
      <c r="D19" s="5"/>
      <c r="E19" s="5"/>
      <c r="F19" s="5"/>
      <c r="G19" s="5"/>
      <c r="H19" s="5"/>
      <c r="I19" s="5"/>
      <c r="J19" s="5"/>
    </row>
    <row r="20" spans="2:10">
      <c r="B20" s="5"/>
      <c r="C20" s="5"/>
      <c r="D20" s="5"/>
      <c r="E20" s="5"/>
      <c r="F20" s="5"/>
      <c r="G20" s="5"/>
      <c r="H20" s="5"/>
      <c r="I20" s="5"/>
      <c r="J20" s="5"/>
    </row>
    <row r="22" spans="2:10">
      <c r="E22" s="6"/>
    </row>
    <row r="23" spans="2:10">
      <c r="E23" s="6"/>
    </row>
    <row r="24" spans="2:10">
      <c r="E24" s="6"/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N42"/>
  <sheetViews>
    <sheetView topLeftCell="A22" workbookViewId="0">
      <selection activeCell="N19" sqref="N19"/>
    </sheetView>
  </sheetViews>
  <sheetFormatPr defaultRowHeight="13.5"/>
  <cols>
    <col min="2" max="2" width="5.25" bestFit="1" customWidth="1"/>
    <col min="3" max="3" width="5" customWidth="1"/>
    <col min="4" max="4" width="5.375" customWidth="1"/>
    <col min="13" max="13" width="5" customWidth="1"/>
  </cols>
  <sheetData>
    <row r="2" spans="2:4">
      <c r="B2" t="s">
        <v>27</v>
      </c>
    </row>
    <row r="3" spans="2:4">
      <c r="C3" t="s">
        <v>28</v>
      </c>
    </row>
    <row r="4" spans="2:4">
      <c r="D4" t="s">
        <v>29</v>
      </c>
    </row>
    <row r="5" spans="2:4">
      <c r="D5" t="s">
        <v>30</v>
      </c>
    </row>
    <row r="6" spans="2:4">
      <c r="C6" t="s">
        <v>31</v>
      </c>
    </row>
    <row r="7" spans="2:4">
      <c r="D7" t="s">
        <v>26</v>
      </c>
    </row>
    <row r="10" spans="2:4">
      <c r="B10" t="s">
        <v>25</v>
      </c>
    </row>
    <row r="11" spans="2:4">
      <c r="C11" t="s">
        <v>28</v>
      </c>
    </row>
    <row r="12" spans="2:4">
      <c r="D12" t="s">
        <v>32</v>
      </c>
    </row>
    <row r="13" spans="2:4">
      <c r="D13" t="s">
        <v>33</v>
      </c>
    </row>
    <row r="14" spans="2:4">
      <c r="D14" t="s">
        <v>34</v>
      </c>
    </row>
    <row r="16" spans="2:4">
      <c r="C16" t="s">
        <v>31</v>
      </c>
    </row>
    <row r="17" spans="2:14">
      <c r="D17" t="s">
        <v>59</v>
      </c>
    </row>
    <row r="18" spans="2:14">
      <c r="D18" t="s">
        <v>35</v>
      </c>
    </row>
    <row r="19" spans="2:14">
      <c r="D19" s="2" t="s">
        <v>37</v>
      </c>
      <c r="E19" s="3" t="s">
        <v>36</v>
      </c>
    </row>
    <row r="20" spans="2:14">
      <c r="D20" s="2" t="s">
        <v>37</v>
      </c>
      <c r="E20" s="3" t="s">
        <v>1</v>
      </c>
    </row>
    <row r="21" spans="2:14">
      <c r="D21" s="2" t="s">
        <v>37</v>
      </c>
      <c r="E21" s="3" t="s">
        <v>7</v>
      </c>
    </row>
    <row r="22" spans="2:14">
      <c r="D22" t="s">
        <v>38</v>
      </c>
    </row>
    <row r="23" spans="2:14">
      <c r="D23" t="s">
        <v>58</v>
      </c>
    </row>
    <row r="25" spans="2:14">
      <c r="B25" t="s">
        <v>39</v>
      </c>
    </row>
    <row r="26" spans="2:14">
      <c r="C26" t="s">
        <v>48</v>
      </c>
      <c r="M26" t="s">
        <v>49</v>
      </c>
    </row>
    <row r="27" spans="2:14">
      <c r="C27" s="2" t="s">
        <v>45</v>
      </c>
      <c r="D27" t="s">
        <v>41</v>
      </c>
      <c r="N27" t="s">
        <v>50</v>
      </c>
    </row>
    <row r="28" spans="2:14">
      <c r="C28" s="2" t="s">
        <v>46</v>
      </c>
      <c r="D28" t="s">
        <v>42</v>
      </c>
      <c r="N28" t="s">
        <v>51</v>
      </c>
    </row>
    <row r="29" spans="2:14">
      <c r="E29" t="s">
        <v>43</v>
      </c>
    </row>
    <row r="30" spans="2:14">
      <c r="N30" t="s">
        <v>52</v>
      </c>
    </row>
    <row r="31" spans="2:14">
      <c r="N31" t="s">
        <v>53</v>
      </c>
    </row>
    <row r="33" spans="5:14">
      <c r="N33" t="s">
        <v>54</v>
      </c>
    </row>
    <row r="34" spans="5:14">
      <c r="N34" t="s">
        <v>55</v>
      </c>
    </row>
    <row r="36" spans="5:14">
      <c r="N36" t="s">
        <v>56</v>
      </c>
    </row>
    <row r="38" spans="5:14">
      <c r="N38" t="s">
        <v>57</v>
      </c>
    </row>
    <row r="42" spans="5:14">
      <c r="E42" t="s">
        <v>44</v>
      </c>
    </row>
  </sheetData>
  <phoneticPr fontId="4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9EB8-DFC1-4DAB-9DE7-6161C545CE73}">
  <sheetPr codeName="Sheet6" filterMode="1">
    <tabColor rgb="FFFFFF00"/>
  </sheetPr>
  <dimension ref="A1:G756"/>
  <sheetViews>
    <sheetView workbookViewId="0">
      <selection activeCell="J720" sqref="J720"/>
    </sheetView>
  </sheetViews>
  <sheetFormatPr defaultRowHeight="15.75"/>
  <cols>
    <col min="1" max="1" width="23" style="5" customWidth="1"/>
    <col min="2" max="2" width="14.75" style="5" bestFit="1" customWidth="1"/>
    <col min="3" max="3" width="42.125" style="5" bestFit="1" customWidth="1"/>
    <col min="4" max="4" width="23.25" style="5" bestFit="1" customWidth="1"/>
    <col min="5" max="16384" width="9" style="5"/>
  </cols>
  <sheetData>
    <row r="1" spans="1:7">
      <c r="A1" s="87" t="s">
        <v>566</v>
      </c>
      <c r="B1" s="87" t="s">
        <v>341</v>
      </c>
      <c r="C1" s="87" t="s">
        <v>340</v>
      </c>
      <c r="D1" s="87" t="s">
        <v>343</v>
      </c>
      <c r="E1" s="86" t="s">
        <v>342</v>
      </c>
      <c r="F1" s="86"/>
      <c r="G1" s="86"/>
    </row>
    <row r="2" spans="1:7" hidden="1">
      <c r="A2" s="99" t="s">
        <v>116</v>
      </c>
      <c r="B2" s="99" t="s">
        <v>581</v>
      </c>
      <c r="C2" s="99" t="s">
        <v>353</v>
      </c>
      <c r="D2" s="99" t="s">
        <v>354</v>
      </c>
      <c r="E2" s="99" t="s">
        <v>581</v>
      </c>
      <c r="F2" s="5" t="s">
        <v>1877</v>
      </c>
    </row>
    <row r="3" spans="1:7" hidden="1">
      <c r="A3" s="99" t="s">
        <v>583</v>
      </c>
      <c r="B3" s="99" t="s">
        <v>582</v>
      </c>
      <c r="C3" s="99" t="s">
        <v>353</v>
      </c>
      <c r="D3" s="99" t="s">
        <v>347</v>
      </c>
      <c r="E3" s="99" t="s">
        <v>582</v>
      </c>
      <c r="F3" s="5" t="s">
        <v>2082</v>
      </c>
    </row>
    <row r="4" spans="1:7" hidden="1">
      <c r="A4" s="99" t="s">
        <v>585</v>
      </c>
      <c r="B4" s="99" t="s">
        <v>584</v>
      </c>
      <c r="C4" s="99" t="s">
        <v>353</v>
      </c>
      <c r="D4" s="99" t="s">
        <v>347</v>
      </c>
      <c r="E4" s="99" t="s">
        <v>584</v>
      </c>
      <c r="F4" s="5" t="s">
        <v>2083</v>
      </c>
    </row>
    <row r="5" spans="1:7" hidden="1">
      <c r="A5" s="99" t="s">
        <v>587</v>
      </c>
      <c r="B5" s="99" t="s">
        <v>586</v>
      </c>
      <c r="C5" s="99" t="s">
        <v>353</v>
      </c>
      <c r="D5" s="99" t="s">
        <v>347</v>
      </c>
      <c r="E5" s="99" t="s">
        <v>586</v>
      </c>
      <c r="F5" s="5" t="s">
        <v>2084</v>
      </c>
    </row>
    <row r="6" spans="1:7" hidden="1">
      <c r="A6" s="99" t="s">
        <v>589</v>
      </c>
      <c r="B6" s="99" t="s">
        <v>588</v>
      </c>
      <c r="C6" s="99" t="s">
        <v>353</v>
      </c>
      <c r="D6" s="99" t="s">
        <v>344</v>
      </c>
      <c r="E6" s="99" t="s">
        <v>588</v>
      </c>
      <c r="F6" s="5" t="s">
        <v>2085</v>
      </c>
    </row>
    <row r="7" spans="1:7" hidden="1">
      <c r="A7" s="99" t="s">
        <v>591</v>
      </c>
      <c r="B7" s="99" t="s">
        <v>590</v>
      </c>
      <c r="C7" s="99" t="s">
        <v>353</v>
      </c>
      <c r="D7" s="99" t="s">
        <v>344</v>
      </c>
      <c r="E7" s="99" t="s">
        <v>590</v>
      </c>
      <c r="F7" s="5" t="s">
        <v>2086</v>
      </c>
    </row>
    <row r="8" spans="1:7" hidden="1">
      <c r="A8" s="99" t="s">
        <v>593</v>
      </c>
      <c r="B8" s="99" t="s">
        <v>592</v>
      </c>
      <c r="C8" s="99" t="s">
        <v>353</v>
      </c>
      <c r="D8" s="99" t="s">
        <v>344</v>
      </c>
      <c r="E8" s="99" t="s">
        <v>592</v>
      </c>
      <c r="F8" s="5" t="s">
        <v>2087</v>
      </c>
    </row>
    <row r="9" spans="1:7" hidden="1">
      <c r="A9" s="99" t="s">
        <v>111</v>
      </c>
      <c r="B9" s="99" t="s">
        <v>594</v>
      </c>
      <c r="C9" s="99" t="s">
        <v>353</v>
      </c>
      <c r="D9" s="99" t="s">
        <v>344</v>
      </c>
      <c r="E9" s="99" t="s">
        <v>594</v>
      </c>
      <c r="F9" s="5" t="s">
        <v>2088</v>
      </c>
    </row>
    <row r="10" spans="1:7" hidden="1">
      <c r="A10" s="99" t="s">
        <v>596</v>
      </c>
      <c r="B10" s="99" t="s">
        <v>595</v>
      </c>
      <c r="C10" s="99" t="s">
        <v>355</v>
      </c>
      <c r="D10" s="99" t="s">
        <v>356</v>
      </c>
      <c r="E10" s="99" t="s">
        <v>595</v>
      </c>
      <c r="F10" s="5" t="s">
        <v>1878</v>
      </c>
    </row>
    <row r="11" spans="1:7" hidden="1">
      <c r="A11" s="99" t="s">
        <v>598</v>
      </c>
      <c r="B11" s="99" t="s">
        <v>597</v>
      </c>
      <c r="C11" s="99" t="s">
        <v>355</v>
      </c>
      <c r="D11" s="99" t="s">
        <v>347</v>
      </c>
      <c r="E11" s="99" t="s">
        <v>597</v>
      </c>
      <c r="F11" s="5" t="s">
        <v>2089</v>
      </c>
    </row>
    <row r="12" spans="1:7" hidden="1">
      <c r="A12" s="99" t="s">
        <v>600</v>
      </c>
      <c r="B12" s="99" t="s">
        <v>599</v>
      </c>
      <c r="C12" s="99" t="s">
        <v>355</v>
      </c>
      <c r="D12" s="99" t="s">
        <v>344</v>
      </c>
      <c r="E12" s="99" t="s">
        <v>599</v>
      </c>
      <c r="F12" s="5" t="s">
        <v>2090</v>
      </c>
    </row>
    <row r="13" spans="1:7" hidden="1">
      <c r="A13" s="99" t="s">
        <v>110</v>
      </c>
      <c r="B13" s="99" t="s">
        <v>601</v>
      </c>
      <c r="C13" s="99" t="s">
        <v>355</v>
      </c>
      <c r="D13" s="99" t="s">
        <v>344</v>
      </c>
      <c r="E13" s="99" t="s">
        <v>601</v>
      </c>
      <c r="F13" s="5" t="s">
        <v>1962</v>
      </c>
    </row>
    <row r="14" spans="1:7" hidden="1">
      <c r="A14" s="99" t="s">
        <v>109</v>
      </c>
      <c r="B14" s="99" t="s">
        <v>602</v>
      </c>
      <c r="C14" s="99" t="s">
        <v>357</v>
      </c>
      <c r="D14" s="99" t="s">
        <v>356</v>
      </c>
      <c r="E14" s="99" t="s">
        <v>602</v>
      </c>
      <c r="F14" s="5" t="s">
        <v>1879</v>
      </c>
    </row>
    <row r="15" spans="1:7" hidden="1">
      <c r="A15" s="99" t="s">
        <v>604</v>
      </c>
      <c r="B15" s="99" t="s">
        <v>603</v>
      </c>
      <c r="C15" s="99" t="s">
        <v>357</v>
      </c>
      <c r="D15" s="99" t="s">
        <v>347</v>
      </c>
      <c r="E15" s="99" t="s">
        <v>603</v>
      </c>
      <c r="F15" s="5" t="s">
        <v>2091</v>
      </c>
    </row>
    <row r="16" spans="1:7" hidden="1">
      <c r="A16" s="99" t="s">
        <v>606</v>
      </c>
      <c r="B16" s="99" t="s">
        <v>605</v>
      </c>
      <c r="C16" s="99" t="s">
        <v>357</v>
      </c>
      <c r="D16" s="99" t="s">
        <v>347</v>
      </c>
      <c r="E16" s="99" t="s">
        <v>605</v>
      </c>
      <c r="F16" s="5" t="s">
        <v>2092</v>
      </c>
    </row>
    <row r="17" spans="1:6" hidden="1">
      <c r="A17" s="99" t="s">
        <v>608</v>
      </c>
      <c r="B17" s="99" t="s">
        <v>607</v>
      </c>
      <c r="C17" s="99" t="s">
        <v>357</v>
      </c>
      <c r="D17" s="99" t="s">
        <v>344</v>
      </c>
      <c r="E17" s="99" t="s">
        <v>607</v>
      </c>
      <c r="F17" s="5" t="s">
        <v>2093</v>
      </c>
    </row>
    <row r="18" spans="1:6" hidden="1">
      <c r="A18" s="99" t="s">
        <v>142</v>
      </c>
      <c r="B18" s="99" t="s">
        <v>609</v>
      </c>
      <c r="C18" s="99" t="s">
        <v>357</v>
      </c>
      <c r="D18" s="99" t="s">
        <v>344</v>
      </c>
      <c r="E18" s="99" t="s">
        <v>609</v>
      </c>
      <c r="F18" s="5" t="s">
        <v>1963</v>
      </c>
    </row>
    <row r="19" spans="1:6" hidden="1">
      <c r="A19" s="99" t="s">
        <v>141</v>
      </c>
      <c r="B19" s="99" t="s">
        <v>612</v>
      </c>
      <c r="C19" s="99" t="s">
        <v>359</v>
      </c>
      <c r="D19" s="99" t="s">
        <v>356</v>
      </c>
      <c r="E19" s="99" t="s">
        <v>612</v>
      </c>
      <c r="F19" s="5" t="s">
        <v>1880</v>
      </c>
    </row>
    <row r="20" spans="1:6" hidden="1">
      <c r="A20" s="99" t="s">
        <v>614</v>
      </c>
      <c r="B20" s="99" t="s">
        <v>613</v>
      </c>
      <c r="C20" s="99" t="s">
        <v>359</v>
      </c>
      <c r="D20" s="99" t="s">
        <v>347</v>
      </c>
      <c r="E20" s="99" t="s">
        <v>613</v>
      </c>
      <c r="F20" s="5" t="s">
        <v>2094</v>
      </c>
    </row>
    <row r="21" spans="1:6" hidden="1">
      <c r="A21" s="99" t="s">
        <v>616</v>
      </c>
      <c r="B21" s="99" t="s">
        <v>615</v>
      </c>
      <c r="C21" s="99" t="s">
        <v>359</v>
      </c>
      <c r="D21" s="99" t="s">
        <v>344</v>
      </c>
      <c r="E21" s="99" t="s">
        <v>615</v>
      </c>
      <c r="F21" s="5" t="s">
        <v>2095</v>
      </c>
    </row>
    <row r="22" spans="1:6" hidden="1">
      <c r="A22" s="99" t="s">
        <v>618</v>
      </c>
      <c r="B22" s="99" t="s">
        <v>617</v>
      </c>
      <c r="C22" s="99" t="s">
        <v>359</v>
      </c>
      <c r="D22" s="99" t="s">
        <v>344</v>
      </c>
      <c r="E22" s="99" t="s">
        <v>617</v>
      </c>
      <c r="F22" s="5" t="s">
        <v>2096</v>
      </c>
    </row>
    <row r="23" spans="1:6" hidden="1">
      <c r="A23" s="99" t="s">
        <v>620</v>
      </c>
      <c r="B23" s="99" t="s">
        <v>619</v>
      </c>
      <c r="C23" s="99" t="s">
        <v>359</v>
      </c>
      <c r="D23" s="99" t="s">
        <v>344</v>
      </c>
      <c r="E23" s="99" t="s">
        <v>619</v>
      </c>
      <c r="F23" s="5" t="s">
        <v>2097</v>
      </c>
    </row>
    <row r="24" spans="1:6" hidden="1">
      <c r="A24" s="99" t="s">
        <v>171</v>
      </c>
      <c r="B24" s="99" t="s">
        <v>621</v>
      </c>
      <c r="C24" s="99" t="s">
        <v>359</v>
      </c>
      <c r="D24" s="99" t="s">
        <v>344</v>
      </c>
      <c r="E24" s="99" t="s">
        <v>621</v>
      </c>
      <c r="F24" s="5" t="s">
        <v>1964</v>
      </c>
    </row>
    <row r="25" spans="1:6" hidden="1">
      <c r="A25" s="99" t="s">
        <v>623</v>
      </c>
      <c r="B25" s="99" t="s">
        <v>622</v>
      </c>
      <c r="C25" s="99" t="s">
        <v>360</v>
      </c>
      <c r="D25" s="99" t="s">
        <v>356</v>
      </c>
      <c r="E25" s="99" t="s">
        <v>622</v>
      </c>
      <c r="F25" s="5" t="s">
        <v>1881</v>
      </c>
    </row>
    <row r="26" spans="1:6" hidden="1">
      <c r="A26" s="99" t="s">
        <v>171</v>
      </c>
      <c r="B26" s="99" t="s">
        <v>621</v>
      </c>
      <c r="C26" s="99" t="s">
        <v>360</v>
      </c>
      <c r="D26" s="99" t="s">
        <v>344</v>
      </c>
      <c r="E26" s="99" t="s">
        <v>621</v>
      </c>
      <c r="F26" s="5" t="s">
        <v>1964</v>
      </c>
    </row>
    <row r="27" spans="1:6" hidden="1">
      <c r="A27" s="99" t="s">
        <v>112</v>
      </c>
      <c r="B27" s="99" t="s">
        <v>626</v>
      </c>
      <c r="C27" s="99" t="s">
        <v>362</v>
      </c>
      <c r="D27" s="99" t="s">
        <v>356</v>
      </c>
      <c r="E27" s="99" t="s">
        <v>626</v>
      </c>
      <c r="F27" s="5" t="s">
        <v>1882</v>
      </c>
    </row>
    <row r="28" spans="1:6" hidden="1">
      <c r="A28" s="99" t="s">
        <v>117</v>
      </c>
      <c r="B28" s="99" t="s">
        <v>627</v>
      </c>
      <c r="C28" s="99" t="s">
        <v>362</v>
      </c>
      <c r="D28" s="99" t="s">
        <v>347</v>
      </c>
      <c r="E28" s="99" t="s">
        <v>627</v>
      </c>
      <c r="F28" s="5" t="s">
        <v>1965</v>
      </c>
    </row>
    <row r="29" spans="1:6" hidden="1">
      <c r="A29" s="99" t="s">
        <v>629</v>
      </c>
      <c r="B29" s="99" t="s">
        <v>628</v>
      </c>
      <c r="C29" s="99" t="s">
        <v>362</v>
      </c>
      <c r="D29" s="99" t="s">
        <v>344</v>
      </c>
      <c r="E29" s="99" t="s">
        <v>628</v>
      </c>
      <c r="F29" s="5" t="s">
        <v>2098</v>
      </c>
    </row>
    <row r="30" spans="1:6" hidden="1">
      <c r="A30" s="99" t="s">
        <v>631</v>
      </c>
      <c r="B30" s="99" t="s">
        <v>630</v>
      </c>
      <c r="C30" s="99" t="s">
        <v>362</v>
      </c>
      <c r="D30" s="99" t="s">
        <v>344</v>
      </c>
      <c r="E30" s="99" t="s">
        <v>630</v>
      </c>
      <c r="F30" s="5" t="s">
        <v>2099</v>
      </c>
    </row>
    <row r="31" spans="1:6" hidden="1">
      <c r="A31" s="99" t="s">
        <v>633</v>
      </c>
      <c r="B31" s="99" t="s">
        <v>632</v>
      </c>
      <c r="C31" s="99" t="s">
        <v>362</v>
      </c>
      <c r="D31" s="99" t="s">
        <v>344</v>
      </c>
      <c r="E31" s="99" t="s">
        <v>632</v>
      </c>
      <c r="F31" s="5" t="s">
        <v>2100</v>
      </c>
    </row>
    <row r="32" spans="1:6" hidden="1">
      <c r="A32" s="99" t="s">
        <v>118</v>
      </c>
      <c r="B32" s="99" t="s">
        <v>634</v>
      </c>
      <c r="C32" s="99" t="s">
        <v>362</v>
      </c>
      <c r="D32" s="99" t="s">
        <v>344</v>
      </c>
      <c r="E32" s="99" t="s">
        <v>634</v>
      </c>
      <c r="F32" s="5" t="s">
        <v>1966</v>
      </c>
    </row>
    <row r="33" spans="1:6" hidden="1">
      <c r="A33" s="99" t="s">
        <v>121</v>
      </c>
      <c r="B33" s="99" t="s">
        <v>635</v>
      </c>
      <c r="C33" s="99" t="s">
        <v>363</v>
      </c>
      <c r="D33" s="99" t="s">
        <v>356</v>
      </c>
      <c r="E33" s="99" t="s">
        <v>635</v>
      </c>
      <c r="F33" s="5" t="s">
        <v>1883</v>
      </c>
    </row>
    <row r="34" spans="1:6" hidden="1">
      <c r="A34" s="99" t="s">
        <v>122</v>
      </c>
      <c r="B34" s="99" t="s">
        <v>636</v>
      </c>
      <c r="C34" s="99" t="s">
        <v>363</v>
      </c>
      <c r="D34" s="99" t="s">
        <v>347</v>
      </c>
      <c r="E34" s="99" t="s">
        <v>636</v>
      </c>
      <c r="F34" s="5" t="s">
        <v>1967</v>
      </c>
    </row>
    <row r="35" spans="1:6" hidden="1">
      <c r="A35" s="99" t="s">
        <v>638</v>
      </c>
      <c r="B35" s="99" t="s">
        <v>637</v>
      </c>
      <c r="C35" s="99" t="s">
        <v>363</v>
      </c>
      <c r="D35" s="99" t="s">
        <v>344</v>
      </c>
      <c r="E35" s="99" t="s">
        <v>637</v>
      </c>
      <c r="F35" s="5" t="s">
        <v>2101</v>
      </c>
    </row>
    <row r="36" spans="1:6" hidden="1">
      <c r="A36" s="99" t="s">
        <v>640</v>
      </c>
      <c r="B36" s="99" t="s">
        <v>639</v>
      </c>
      <c r="C36" s="99" t="s">
        <v>363</v>
      </c>
      <c r="D36" s="99" t="s">
        <v>344</v>
      </c>
      <c r="E36" s="99" t="s">
        <v>639</v>
      </c>
      <c r="F36" s="5" t="s">
        <v>2102</v>
      </c>
    </row>
    <row r="37" spans="1:6" hidden="1">
      <c r="A37" s="99" t="s">
        <v>642</v>
      </c>
      <c r="B37" s="99" t="s">
        <v>641</v>
      </c>
      <c r="C37" s="99" t="s">
        <v>363</v>
      </c>
      <c r="D37" s="99" t="s">
        <v>344</v>
      </c>
      <c r="E37" s="99" t="s">
        <v>641</v>
      </c>
      <c r="F37" s="5" t="s">
        <v>1968</v>
      </c>
    </row>
    <row r="38" spans="1:6" hidden="1">
      <c r="A38" s="99" t="s">
        <v>140</v>
      </c>
      <c r="B38" s="99" t="s">
        <v>643</v>
      </c>
      <c r="C38" s="99" t="s">
        <v>364</v>
      </c>
      <c r="D38" s="99" t="s">
        <v>356</v>
      </c>
      <c r="E38" s="99" t="s">
        <v>643</v>
      </c>
      <c r="F38" s="5" t="s">
        <v>1884</v>
      </c>
    </row>
    <row r="39" spans="1:6" hidden="1">
      <c r="A39" s="99" t="s">
        <v>113</v>
      </c>
      <c r="B39" s="99" t="s">
        <v>644</v>
      </c>
      <c r="C39" s="99" t="s">
        <v>364</v>
      </c>
      <c r="D39" s="99" t="s">
        <v>347</v>
      </c>
      <c r="E39" s="99" t="s">
        <v>644</v>
      </c>
      <c r="F39" s="5" t="s">
        <v>2103</v>
      </c>
    </row>
    <row r="40" spans="1:6" hidden="1">
      <c r="A40" s="99" t="s">
        <v>646</v>
      </c>
      <c r="B40" s="99" t="s">
        <v>645</v>
      </c>
      <c r="C40" s="99" t="s">
        <v>364</v>
      </c>
      <c r="D40" s="99" t="s">
        <v>344</v>
      </c>
      <c r="E40" s="99" t="s">
        <v>645</v>
      </c>
      <c r="F40" s="5" t="s">
        <v>2104</v>
      </c>
    </row>
    <row r="41" spans="1:6" hidden="1">
      <c r="A41" s="99" t="s">
        <v>648</v>
      </c>
      <c r="B41" s="99" t="s">
        <v>647</v>
      </c>
      <c r="C41" s="99" t="s">
        <v>364</v>
      </c>
      <c r="D41" s="99" t="s">
        <v>344</v>
      </c>
      <c r="E41" s="99" t="s">
        <v>647</v>
      </c>
      <c r="F41" s="5" t="s">
        <v>2105</v>
      </c>
    </row>
    <row r="42" spans="1:6" hidden="1">
      <c r="A42" s="99" t="s">
        <v>114</v>
      </c>
      <c r="B42" s="99" t="s">
        <v>649</v>
      </c>
      <c r="C42" s="99" t="s">
        <v>364</v>
      </c>
      <c r="D42" s="99" t="s">
        <v>344</v>
      </c>
      <c r="E42" s="99" t="s">
        <v>649</v>
      </c>
      <c r="F42" s="5" t="s">
        <v>1969</v>
      </c>
    </row>
    <row r="43" spans="1:6" hidden="1">
      <c r="A43" s="100" t="s">
        <v>657</v>
      </c>
      <c r="B43" s="100" t="s">
        <v>656</v>
      </c>
      <c r="C43" s="100" t="s">
        <v>367</v>
      </c>
      <c r="D43" s="100" t="s">
        <v>356</v>
      </c>
      <c r="E43" s="100" t="s">
        <v>656</v>
      </c>
      <c r="F43" s="5" t="s">
        <v>2106</v>
      </c>
    </row>
    <row r="44" spans="1:6" hidden="1">
      <c r="A44" s="100" t="s">
        <v>659</v>
      </c>
      <c r="B44" s="100" t="s">
        <v>658</v>
      </c>
      <c r="C44" s="100" t="s">
        <v>367</v>
      </c>
      <c r="D44" s="100" t="s">
        <v>344</v>
      </c>
      <c r="E44" s="100" t="s">
        <v>658</v>
      </c>
      <c r="F44" s="5" t="s">
        <v>1970</v>
      </c>
    </row>
    <row r="45" spans="1:6" hidden="1">
      <c r="A45" s="100" t="s">
        <v>661</v>
      </c>
      <c r="B45" s="100" t="s">
        <v>660</v>
      </c>
      <c r="C45" s="100" t="s">
        <v>367</v>
      </c>
      <c r="D45" s="100" t="s">
        <v>344</v>
      </c>
      <c r="E45" s="100" t="s">
        <v>660</v>
      </c>
      <c r="F45" s="5" t="s">
        <v>2107</v>
      </c>
    </row>
    <row r="46" spans="1:6" hidden="1">
      <c r="A46" s="100" t="s">
        <v>663</v>
      </c>
      <c r="B46" s="100" t="s">
        <v>662</v>
      </c>
      <c r="C46" s="100" t="s">
        <v>367</v>
      </c>
      <c r="D46" s="100" t="s">
        <v>344</v>
      </c>
      <c r="E46" s="100" t="s">
        <v>662</v>
      </c>
      <c r="F46" s="5" t="s">
        <v>2108</v>
      </c>
    </row>
    <row r="47" spans="1:6" hidden="1">
      <c r="A47" s="100" t="s">
        <v>665</v>
      </c>
      <c r="B47" s="100" t="s">
        <v>664</v>
      </c>
      <c r="C47" s="100" t="s">
        <v>367</v>
      </c>
      <c r="D47" s="100" t="s">
        <v>344</v>
      </c>
      <c r="E47" s="100" t="s">
        <v>664</v>
      </c>
      <c r="F47" s="5" t="s">
        <v>1971</v>
      </c>
    </row>
    <row r="48" spans="1:6" hidden="1">
      <c r="A48" s="100" t="s">
        <v>137</v>
      </c>
      <c r="B48" s="100" t="s">
        <v>666</v>
      </c>
      <c r="C48" s="100" t="s">
        <v>368</v>
      </c>
      <c r="D48" s="100" t="s">
        <v>356</v>
      </c>
      <c r="E48" s="100" t="s">
        <v>666</v>
      </c>
      <c r="F48" s="5" t="s">
        <v>1886</v>
      </c>
    </row>
    <row r="49" spans="1:6" hidden="1">
      <c r="A49" s="100" t="s">
        <v>136</v>
      </c>
      <c r="B49" s="100" t="s">
        <v>667</v>
      </c>
      <c r="C49" s="100" t="s">
        <v>368</v>
      </c>
      <c r="D49" s="100" t="s">
        <v>347</v>
      </c>
      <c r="E49" s="100" t="s">
        <v>667</v>
      </c>
      <c r="F49" s="5" t="s">
        <v>1972</v>
      </c>
    </row>
    <row r="50" spans="1:6" hidden="1">
      <c r="A50" s="100" t="s">
        <v>669</v>
      </c>
      <c r="B50" s="100" t="s">
        <v>668</v>
      </c>
      <c r="C50" s="100" t="s">
        <v>368</v>
      </c>
      <c r="D50" s="100" t="s">
        <v>344</v>
      </c>
      <c r="E50" s="100" t="s">
        <v>668</v>
      </c>
      <c r="F50" s="5" t="s">
        <v>2109</v>
      </c>
    </row>
    <row r="51" spans="1:6" hidden="1">
      <c r="A51" s="100" t="s">
        <v>671</v>
      </c>
      <c r="B51" s="100" t="s">
        <v>670</v>
      </c>
      <c r="C51" s="100" t="s">
        <v>368</v>
      </c>
      <c r="D51" s="100" t="s">
        <v>344</v>
      </c>
      <c r="E51" s="100" t="s">
        <v>670</v>
      </c>
      <c r="F51" s="5" t="s">
        <v>2110</v>
      </c>
    </row>
    <row r="52" spans="1:6" hidden="1">
      <c r="A52" s="100" t="s">
        <v>673</v>
      </c>
      <c r="B52" s="100" t="s">
        <v>672</v>
      </c>
      <c r="C52" s="100" t="s">
        <v>368</v>
      </c>
      <c r="D52" s="100" t="s">
        <v>344</v>
      </c>
      <c r="E52" s="100" t="s">
        <v>672</v>
      </c>
      <c r="F52" s="5" t="s">
        <v>2111</v>
      </c>
    </row>
    <row r="53" spans="1:6" hidden="1">
      <c r="A53" s="100" t="s">
        <v>665</v>
      </c>
      <c r="B53" s="100" t="s">
        <v>664</v>
      </c>
      <c r="C53" s="100" t="s">
        <v>368</v>
      </c>
      <c r="D53" s="100" t="s">
        <v>344</v>
      </c>
      <c r="E53" s="100" t="s">
        <v>664</v>
      </c>
      <c r="F53" s="5" t="s">
        <v>1971</v>
      </c>
    </row>
    <row r="54" spans="1:6" hidden="1">
      <c r="A54" s="100" t="s">
        <v>675</v>
      </c>
      <c r="B54" s="100" t="s">
        <v>674</v>
      </c>
      <c r="C54" s="100" t="s">
        <v>369</v>
      </c>
      <c r="D54" s="100" t="s">
        <v>356</v>
      </c>
      <c r="E54" s="100" t="s">
        <v>674</v>
      </c>
      <c r="F54" s="5" t="s">
        <v>1887</v>
      </c>
    </row>
    <row r="55" spans="1:6" hidden="1">
      <c r="A55" s="100" t="s">
        <v>677</v>
      </c>
      <c r="B55" s="100" t="s">
        <v>676</v>
      </c>
      <c r="C55" s="100" t="s">
        <v>369</v>
      </c>
      <c r="D55" s="100" t="s">
        <v>344</v>
      </c>
      <c r="E55" s="100" t="s">
        <v>676</v>
      </c>
      <c r="F55" s="5" t="s">
        <v>1973</v>
      </c>
    </row>
    <row r="56" spans="1:6" hidden="1">
      <c r="A56" s="100" t="s">
        <v>679</v>
      </c>
      <c r="B56" s="100" t="s">
        <v>678</v>
      </c>
      <c r="C56" s="100" t="s">
        <v>369</v>
      </c>
      <c r="D56" s="100" t="s">
        <v>344</v>
      </c>
      <c r="E56" s="100" t="s">
        <v>678</v>
      </c>
      <c r="F56" s="5" t="s">
        <v>2112</v>
      </c>
    </row>
    <row r="57" spans="1:6" hidden="1">
      <c r="A57" s="100" t="s">
        <v>681</v>
      </c>
      <c r="B57" s="100" t="s">
        <v>680</v>
      </c>
      <c r="C57" s="100" t="s">
        <v>369</v>
      </c>
      <c r="D57" s="100" t="s">
        <v>344</v>
      </c>
      <c r="E57" s="100" t="s">
        <v>680</v>
      </c>
      <c r="F57" s="5" t="s">
        <v>2113</v>
      </c>
    </row>
    <row r="58" spans="1:6" hidden="1">
      <c r="A58" s="100" t="s">
        <v>683</v>
      </c>
      <c r="B58" s="100" t="s">
        <v>682</v>
      </c>
      <c r="C58" s="100" t="s">
        <v>369</v>
      </c>
      <c r="D58" s="100" t="s">
        <v>344</v>
      </c>
      <c r="E58" s="100" t="s">
        <v>682</v>
      </c>
      <c r="F58" s="5" t="s">
        <v>2114</v>
      </c>
    </row>
    <row r="59" spans="1:6" hidden="1">
      <c r="A59" s="100" t="s">
        <v>685</v>
      </c>
      <c r="B59" s="100" t="s">
        <v>684</v>
      </c>
      <c r="C59" s="100" t="s">
        <v>369</v>
      </c>
      <c r="D59" s="100" t="s">
        <v>344</v>
      </c>
      <c r="E59" s="100" t="s">
        <v>684</v>
      </c>
      <c r="F59" s="5" t="s">
        <v>1974</v>
      </c>
    </row>
    <row r="60" spans="1:6" hidden="1">
      <c r="A60" s="100" t="s">
        <v>120</v>
      </c>
      <c r="B60" s="100" t="s">
        <v>686</v>
      </c>
      <c r="C60" s="100" t="s">
        <v>370</v>
      </c>
      <c r="D60" s="100" t="s">
        <v>356</v>
      </c>
      <c r="E60" s="100" t="s">
        <v>686</v>
      </c>
      <c r="F60" s="5" t="s">
        <v>1888</v>
      </c>
    </row>
    <row r="61" spans="1:6" hidden="1">
      <c r="A61" s="100" t="s">
        <v>688</v>
      </c>
      <c r="B61" s="100" t="s">
        <v>687</v>
      </c>
      <c r="C61" s="100" t="s">
        <v>370</v>
      </c>
      <c r="D61" s="100" t="s">
        <v>344</v>
      </c>
      <c r="E61" s="100" t="s">
        <v>687</v>
      </c>
      <c r="F61" s="5" t="s">
        <v>2115</v>
      </c>
    </row>
    <row r="62" spans="1:6" hidden="1">
      <c r="A62" s="100" t="s">
        <v>690</v>
      </c>
      <c r="B62" s="100" t="s">
        <v>689</v>
      </c>
      <c r="C62" s="100" t="s">
        <v>370</v>
      </c>
      <c r="D62" s="100" t="s">
        <v>344</v>
      </c>
      <c r="E62" s="100" t="s">
        <v>689</v>
      </c>
      <c r="F62" s="5" t="s">
        <v>2116</v>
      </c>
    </row>
    <row r="63" spans="1:6" hidden="1">
      <c r="A63" s="100" t="s">
        <v>692</v>
      </c>
      <c r="B63" s="100" t="s">
        <v>691</v>
      </c>
      <c r="C63" s="100" t="s">
        <v>370</v>
      </c>
      <c r="D63" s="100" t="s">
        <v>344</v>
      </c>
      <c r="E63" s="100" t="s">
        <v>691</v>
      </c>
      <c r="F63" s="5" t="s">
        <v>2117</v>
      </c>
    </row>
    <row r="64" spans="1:6" hidden="1">
      <c r="A64" s="100" t="s">
        <v>694</v>
      </c>
      <c r="B64" s="100" t="s">
        <v>693</v>
      </c>
      <c r="C64" s="100" t="s">
        <v>370</v>
      </c>
      <c r="D64" s="100" t="s">
        <v>344</v>
      </c>
      <c r="E64" s="100" t="s">
        <v>693</v>
      </c>
      <c r="F64" s="5" t="s">
        <v>2118</v>
      </c>
    </row>
    <row r="65" spans="1:6" hidden="1">
      <c r="A65" s="100" t="s">
        <v>139</v>
      </c>
      <c r="B65" s="100" t="s">
        <v>695</v>
      </c>
      <c r="C65" s="100" t="s">
        <v>370</v>
      </c>
      <c r="D65" s="100" t="s">
        <v>344</v>
      </c>
      <c r="E65" s="100" t="s">
        <v>695</v>
      </c>
      <c r="F65" s="5" t="s">
        <v>1975</v>
      </c>
    </row>
    <row r="66" spans="1:6" hidden="1">
      <c r="A66" s="100" t="s">
        <v>135</v>
      </c>
      <c r="B66" s="100" t="s">
        <v>697</v>
      </c>
      <c r="C66" s="100" t="s">
        <v>372</v>
      </c>
      <c r="D66" s="100"/>
      <c r="E66" s="100" t="s">
        <v>697</v>
      </c>
      <c r="F66" s="5" t="s">
        <v>2119</v>
      </c>
    </row>
    <row r="67" spans="1:6" hidden="1">
      <c r="A67" s="100" t="s">
        <v>699</v>
      </c>
      <c r="B67" s="100" t="s">
        <v>698</v>
      </c>
      <c r="C67" s="100" t="s">
        <v>372</v>
      </c>
      <c r="D67" s="100" t="s">
        <v>356</v>
      </c>
      <c r="E67" s="100" t="s">
        <v>698</v>
      </c>
      <c r="F67" s="5" t="s">
        <v>1889</v>
      </c>
    </row>
    <row r="68" spans="1:6" hidden="1">
      <c r="A68" s="100" t="s">
        <v>701</v>
      </c>
      <c r="B68" s="100" t="s">
        <v>700</v>
      </c>
      <c r="C68" s="100" t="s">
        <v>372</v>
      </c>
      <c r="D68" s="100" t="s">
        <v>347</v>
      </c>
      <c r="E68" s="100" t="s">
        <v>700</v>
      </c>
      <c r="F68" s="5" t="s">
        <v>2120</v>
      </c>
    </row>
    <row r="69" spans="1:6" hidden="1">
      <c r="A69" s="100" t="s">
        <v>703</v>
      </c>
      <c r="B69" s="100" t="s">
        <v>702</v>
      </c>
      <c r="C69" s="100" t="s">
        <v>372</v>
      </c>
      <c r="D69" s="100" t="s">
        <v>347</v>
      </c>
      <c r="E69" s="100" t="s">
        <v>702</v>
      </c>
      <c r="F69" s="5" t="s">
        <v>2121</v>
      </c>
    </row>
    <row r="70" spans="1:6" hidden="1">
      <c r="A70" s="100" t="s">
        <v>705</v>
      </c>
      <c r="B70" s="100" t="s">
        <v>704</v>
      </c>
      <c r="C70" s="100" t="s">
        <v>372</v>
      </c>
      <c r="D70" s="100" t="s">
        <v>344</v>
      </c>
      <c r="E70" s="100" t="s">
        <v>704</v>
      </c>
      <c r="F70" s="5" t="s">
        <v>2122</v>
      </c>
    </row>
    <row r="71" spans="1:6" hidden="1">
      <c r="A71" s="100" t="s">
        <v>707</v>
      </c>
      <c r="B71" s="100" t="s">
        <v>706</v>
      </c>
      <c r="C71" s="100" t="s">
        <v>372</v>
      </c>
      <c r="D71" s="100" t="s">
        <v>344</v>
      </c>
      <c r="E71" s="100" t="s">
        <v>706</v>
      </c>
      <c r="F71" s="5" t="s">
        <v>2123</v>
      </c>
    </row>
    <row r="72" spans="1:6" hidden="1">
      <c r="A72" s="100" t="s">
        <v>709</v>
      </c>
      <c r="B72" s="100" t="s">
        <v>708</v>
      </c>
      <c r="C72" s="100" t="s">
        <v>372</v>
      </c>
      <c r="D72" s="100" t="s">
        <v>344</v>
      </c>
      <c r="E72" s="100" t="s">
        <v>708</v>
      </c>
      <c r="F72" s="5" t="s">
        <v>1976</v>
      </c>
    </row>
    <row r="73" spans="1:6" hidden="1">
      <c r="A73" s="100" t="s">
        <v>711</v>
      </c>
      <c r="B73" s="100" t="s">
        <v>710</v>
      </c>
      <c r="C73" s="100" t="s">
        <v>373</v>
      </c>
      <c r="D73" s="100" t="s">
        <v>356</v>
      </c>
      <c r="E73" s="100" t="s">
        <v>710</v>
      </c>
      <c r="F73" s="5" t="s">
        <v>1890</v>
      </c>
    </row>
    <row r="74" spans="1:6" hidden="1">
      <c r="A74" s="100" t="s">
        <v>713</v>
      </c>
      <c r="B74" s="100" t="s">
        <v>712</v>
      </c>
      <c r="C74" s="100" t="s">
        <v>373</v>
      </c>
      <c r="D74" s="100" t="s">
        <v>347</v>
      </c>
      <c r="E74" s="100" t="s">
        <v>712</v>
      </c>
      <c r="F74" s="5" t="s">
        <v>2124</v>
      </c>
    </row>
    <row r="75" spans="1:6" hidden="1">
      <c r="A75" s="100" t="s">
        <v>715</v>
      </c>
      <c r="B75" s="100" t="s">
        <v>714</v>
      </c>
      <c r="C75" s="100" t="s">
        <v>373</v>
      </c>
      <c r="D75" s="100" t="s">
        <v>344</v>
      </c>
      <c r="E75" s="100" t="s">
        <v>714</v>
      </c>
      <c r="F75" s="5" t="s">
        <v>2125</v>
      </c>
    </row>
    <row r="76" spans="1:6" hidden="1">
      <c r="A76" s="100" t="s">
        <v>717</v>
      </c>
      <c r="B76" s="100" t="s">
        <v>716</v>
      </c>
      <c r="C76" s="100" t="s">
        <v>373</v>
      </c>
      <c r="D76" s="100" t="s">
        <v>344</v>
      </c>
      <c r="E76" s="100" t="s">
        <v>716</v>
      </c>
      <c r="F76" s="5" t="s">
        <v>2126</v>
      </c>
    </row>
    <row r="77" spans="1:6" hidden="1">
      <c r="A77" s="100" t="s">
        <v>719</v>
      </c>
      <c r="B77" s="100" t="s">
        <v>718</v>
      </c>
      <c r="C77" s="100" t="s">
        <v>373</v>
      </c>
      <c r="D77" s="100" t="s">
        <v>344</v>
      </c>
      <c r="E77" s="100" t="s">
        <v>718</v>
      </c>
      <c r="F77" s="5" t="s">
        <v>2127</v>
      </c>
    </row>
    <row r="78" spans="1:6" hidden="1">
      <c r="A78" s="100" t="s">
        <v>138</v>
      </c>
      <c r="B78" s="100" t="s">
        <v>720</v>
      </c>
      <c r="C78" s="100" t="s">
        <v>373</v>
      </c>
      <c r="D78" s="100" t="s">
        <v>344</v>
      </c>
      <c r="E78" s="100" t="s">
        <v>720</v>
      </c>
      <c r="F78" s="5" t="s">
        <v>1977</v>
      </c>
    </row>
    <row r="79" spans="1:6" hidden="1">
      <c r="A79" s="101" t="s">
        <v>727</v>
      </c>
      <c r="B79" s="101" t="s">
        <v>726</v>
      </c>
      <c r="C79" s="101" t="s">
        <v>377</v>
      </c>
      <c r="D79" s="101" t="s">
        <v>356</v>
      </c>
      <c r="E79" s="101" t="s">
        <v>726</v>
      </c>
      <c r="F79" s="5" t="s">
        <v>2128</v>
      </c>
    </row>
    <row r="80" spans="1:6" hidden="1">
      <c r="A80" s="101" t="s">
        <v>729</v>
      </c>
      <c r="B80" s="101" t="s">
        <v>728</v>
      </c>
      <c r="C80" s="101" t="s">
        <v>377</v>
      </c>
      <c r="D80" s="101" t="s">
        <v>347</v>
      </c>
      <c r="E80" s="101" t="s">
        <v>728</v>
      </c>
      <c r="F80" s="5" t="s">
        <v>2129</v>
      </c>
    </row>
    <row r="81" spans="1:6" hidden="1">
      <c r="A81" s="101" t="s">
        <v>731</v>
      </c>
      <c r="B81" s="101" t="s">
        <v>730</v>
      </c>
      <c r="C81" s="101" t="s">
        <v>377</v>
      </c>
      <c r="D81" s="101" t="s">
        <v>344</v>
      </c>
      <c r="E81" s="101" t="s">
        <v>730</v>
      </c>
      <c r="F81" s="5" t="s">
        <v>2130</v>
      </c>
    </row>
    <row r="82" spans="1:6" hidden="1">
      <c r="A82" s="101" t="s">
        <v>733</v>
      </c>
      <c r="B82" s="101" t="s">
        <v>732</v>
      </c>
      <c r="C82" s="101" t="s">
        <v>377</v>
      </c>
      <c r="D82" s="101" t="s">
        <v>344</v>
      </c>
      <c r="E82" s="101" t="s">
        <v>732</v>
      </c>
      <c r="F82" s="5" t="s">
        <v>2131</v>
      </c>
    </row>
    <row r="83" spans="1:6" hidden="1">
      <c r="A83" s="101" t="s">
        <v>735</v>
      </c>
      <c r="B83" s="101" t="s">
        <v>734</v>
      </c>
      <c r="C83" s="101" t="s">
        <v>377</v>
      </c>
      <c r="D83" s="101" t="s">
        <v>344</v>
      </c>
      <c r="E83" s="101" t="s">
        <v>734</v>
      </c>
      <c r="F83" s="5" t="s">
        <v>2132</v>
      </c>
    </row>
    <row r="84" spans="1:6" hidden="1">
      <c r="A84" s="101" t="s">
        <v>737</v>
      </c>
      <c r="B84" s="101" t="s">
        <v>736</v>
      </c>
      <c r="C84" s="101" t="s">
        <v>377</v>
      </c>
      <c r="D84" s="101" t="s">
        <v>344</v>
      </c>
      <c r="E84" s="101" t="s">
        <v>736</v>
      </c>
      <c r="F84" s="5" t="s">
        <v>1978</v>
      </c>
    </row>
    <row r="85" spans="1:6" hidden="1">
      <c r="A85" s="101" t="s">
        <v>130</v>
      </c>
      <c r="B85" s="101" t="s">
        <v>738</v>
      </c>
      <c r="C85" s="101" t="s">
        <v>378</v>
      </c>
      <c r="D85" s="101" t="s">
        <v>356</v>
      </c>
      <c r="E85" s="101" t="s">
        <v>738</v>
      </c>
      <c r="F85" s="5" t="s">
        <v>1892</v>
      </c>
    </row>
    <row r="86" spans="1:6" hidden="1">
      <c r="A86" s="101" t="s">
        <v>740</v>
      </c>
      <c r="B86" s="101" t="s">
        <v>739</v>
      </c>
      <c r="C86" s="101" t="s">
        <v>378</v>
      </c>
      <c r="D86" s="101" t="s">
        <v>347</v>
      </c>
      <c r="E86" s="101" t="s">
        <v>739</v>
      </c>
      <c r="F86" s="5" t="s">
        <v>2133</v>
      </c>
    </row>
    <row r="87" spans="1:6" hidden="1">
      <c r="A87" s="101" t="s">
        <v>742</v>
      </c>
      <c r="B87" s="101" t="s">
        <v>741</v>
      </c>
      <c r="C87" s="101" t="s">
        <v>378</v>
      </c>
      <c r="D87" s="101" t="s">
        <v>344</v>
      </c>
      <c r="E87" s="101" t="s">
        <v>741</v>
      </c>
      <c r="F87" s="5" t="s">
        <v>2134</v>
      </c>
    </row>
    <row r="88" spans="1:6" hidden="1">
      <c r="A88" s="101" t="s">
        <v>744</v>
      </c>
      <c r="B88" s="101" t="s">
        <v>743</v>
      </c>
      <c r="C88" s="101" t="s">
        <v>378</v>
      </c>
      <c r="D88" s="101" t="s">
        <v>344</v>
      </c>
      <c r="E88" s="101" t="s">
        <v>743</v>
      </c>
      <c r="F88" s="5" t="s">
        <v>2135</v>
      </c>
    </row>
    <row r="89" spans="1:6" hidden="1">
      <c r="A89" s="101" t="s">
        <v>746</v>
      </c>
      <c r="B89" s="101" t="s">
        <v>745</v>
      </c>
      <c r="C89" s="101" t="s">
        <v>378</v>
      </c>
      <c r="D89" s="101" t="s">
        <v>344</v>
      </c>
      <c r="E89" s="101" t="s">
        <v>745</v>
      </c>
      <c r="F89" s="5" t="s">
        <v>2136</v>
      </c>
    </row>
    <row r="90" spans="1:6" hidden="1">
      <c r="A90" s="101" t="s">
        <v>275</v>
      </c>
      <c r="B90" s="101" t="s">
        <v>747</v>
      </c>
      <c r="C90" s="101" t="s">
        <v>378</v>
      </c>
      <c r="D90" s="101" t="s">
        <v>344</v>
      </c>
      <c r="E90" s="101" t="s">
        <v>747</v>
      </c>
      <c r="F90" s="5" t="s">
        <v>1979</v>
      </c>
    </row>
    <row r="91" spans="1:6" hidden="1">
      <c r="A91" s="101" t="s">
        <v>131</v>
      </c>
      <c r="B91" s="101" t="s">
        <v>748</v>
      </c>
      <c r="C91" s="101" t="s">
        <v>379</v>
      </c>
      <c r="D91" s="101" t="s">
        <v>356</v>
      </c>
      <c r="E91" s="101" t="s">
        <v>748</v>
      </c>
      <c r="F91" s="5" t="s">
        <v>1893</v>
      </c>
    </row>
    <row r="92" spans="1:6" hidden="1">
      <c r="A92" s="101" t="s">
        <v>750</v>
      </c>
      <c r="B92" s="101" t="s">
        <v>749</v>
      </c>
      <c r="C92" s="101" t="s">
        <v>379</v>
      </c>
      <c r="D92" s="101" t="s">
        <v>347</v>
      </c>
      <c r="E92" s="101" t="s">
        <v>749</v>
      </c>
      <c r="F92" s="5" t="s">
        <v>2137</v>
      </c>
    </row>
    <row r="93" spans="1:6" hidden="1">
      <c r="A93" s="101" t="s">
        <v>752</v>
      </c>
      <c r="B93" s="101" t="s">
        <v>751</v>
      </c>
      <c r="C93" s="101" t="s">
        <v>379</v>
      </c>
      <c r="D93" s="101" t="s">
        <v>347</v>
      </c>
      <c r="E93" s="101" t="s">
        <v>751</v>
      </c>
      <c r="F93" s="5" t="s">
        <v>2138</v>
      </c>
    </row>
    <row r="94" spans="1:6" hidden="1">
      <c r="A94" s="101" t="s">
        <v>754</v>
      </c>
      <c r="B94" s="101" t="s">
        <v>753</v>
      </c>
      <c r="C94" s="101" t="s">
        <v>379</v>
      </c>
      <c r="D94" s="101" t="s">
        <v>344</v>
      </c>
      <c r="E94" s="101" t="s">
        <v>753</v>
      </c>
      <c r="F94" s="5" t="s">
        <v>2139</v>
      </c>
    </row>
    <row r="95" spans="1:6" hidden="1">
      <c r="A95" s="101" t="s">
        <v>756</v>
      </c>
      <c r="B95" s="101" t="s">
        <v>755</v>
      </c>
      <c r="C95" s="101" t="s">
        <v>379</v>
      </c>
      <c r="D95" s="101" t="s">
        <v>344</v>
      </c>
      <c r="E95" s="101" t="s">
        <v>755</v>
      </c>
      <c r="F95" s="5" t="s">
        <v>2140</v>
      </c>
    </row>
    <row r="96" spans="1:6" hidden="1">
      <c r="A96" s="101" t="s">
        <v>275</v>
      </c>
      <c r="B96" s="101" t="s">
        <v>747</v>
      </c>
      <c r="C96" s="101" t="s">
        <v>379</v>
      </c>
      <c r="D96" s="101" t="s">
        <v>344</v>
      </c>
      <c r="E96" s="101" t="s">
        <v>747</v>
      </c>
      <c r="F96" s="5" t="s">
        <v>1979</v>
      </c>
    </row>
    <row r="97" spans="1:6" hidden="1">
      <c r="A97" s="101" t="s">
        <v>128</v>
      </c>
      <c r="B97" s="101" t="s">
        <v>758</v>
      </c>
      <c r="C97" s="101" t="s">
        <v>381</v>
      </c>
      <c r="D97" s="101" t="s">
        <v>356</v>
      </c>
      <c r="E97" s="101" t="s">
        <v>758</v>
      </c>
      <c r="F97" s="5" t="s">
        <v>1894</v>
      </c>
    </row>
    <row r="98" spans="1:6" hidden="1">
      <c r="A98" s="101" t="s">
        <v>760</v>
      </c>
      <c r="B98" s="101" t="s">
        <v>759</v>
      </c>
      <c r="C98" s="101" t="s">
        <v>381</v>
      </c>
      <c r="D98" s="101" t="s">
        <v>347</v>
      </c>
      <c r="E98" s="101" t="s">
        <v>759</v>
      </c>
      <c r="F98" s="5" t="s">
        <v>2141</v>
      </c>
    </row>
    <row r="99" spans="1:6" hidden="1">
      <c r="A99" s="101" t="s">
        <v>762</v>
      </c>
      <c r="B99" s="101" t="s">
        <v>761</v>
      </c>
      <c r="C99" s="101" t="s">
        <v>381</v>
      </c>
      <c r="D99" s="101" t="s">
        <v>344</v>
      </c>
      <c r="E99" s="101" t="s">
        <v>761</v>
      </c>
      <c r="F99" s="5" t="s">
        <v>2142</v>
      </c>
    </row>
    <row r="100" spans="1:6" hidden="1">
      <c r="A100" s="101" t="s">
        <v>124</v>
      </c>
      <c r="B100" s="101" t="s">
        <v>763</v>
      </c>
      <c r="C100" s="101" t="s">
        <v>381</v>
      </c>
      <c r="D100" s="101" t="s">
        <v>344</v>
      </c>
      <c r="E100" s="101" t="s">
        <v>763</v>
      </c>
      <c r="F100" s="5" t="s">
        <v>1980</v>
      </c>
    </row>
    <row r="101" spans="1:6" hidden="1">
      <c r="A101" s="101" t="s">
        <v>254</v>
      </c>
      <c r="B101" s="101" t="s">
        <v>764</v>
      </c>
      <c r="C101" s="101" t="s">
        <v>382</v>
      </c>
      <c r="D101" s="101" t="s">
        <v>356</v>
      </c>
      <c r="E101" s="101" t="s">
        <v>764</v>
      </c>
      <c r="F101" s="5" t="s">
        <v>1895</v>
      </c>
    </row>
    <row r="102" spans="1:6" hidden="1">
      <c r="A102" s="101" t="s">
        <v>766</v>
      </c>
      <c r="B102" s="101" t="s">
        <v>765</v>
      </c>
      <c r="C102" s="101" t="s">
        <v>382</v>
      </c>
      <c r="D102" s="101" t="s">
        <v>347</v>
      </c>
      <c r="E102" s="101" t="s">
        <v>765</v>
      </c>
      <c r="F102" s="5" t="s">
        <v>2143</v>
      </c>
    </row>
    <row r="103" spans="1:6" hidden="1">
      <c r="A103" s="101" t="s">
        <v>768</v>
      </c>
      <c r="B103" s="101" t="s">
        <v>767</v>
      </c>
      <c r="C103" s="101" t="s">
        <v>382</v>
      </c>
      <c r="D103" s="101" t="s">
        <v>344</v>
      </c>
      <c r="E103" s="101" t="s">
        <v>767</v>
      </c>
      <c r="F103" s="5" t="s">
        <v>2144</v>
      </c>
    </row>
    <row r="104" spans="1:6" hidden="1">
      <c r="A104" s="101" t="s">
        <v>124</v>
      </c>
      <c r="B104" s="101" t="s">
        <v>763</v>
      </c>
      <c r="C104" s="101" t="s">
        <v>382</v>
      </c>
      <c r="D104" s="101" t="s">
        <v>344</v>
      </c>
      <c r="E104" s="101" t="s">
        <v>763</v>
      </c>
      <c r="F104" s="5" t="s">
        <v>1980</v>
      </c>
    </row>
    <row r="105" spans="1:6" hidden="1">
      <c r="A105" s="101" t="s">
        <v>770</v>
      </c>
      <c r="B105" s="101" t="s">
        <v>769</v>
      </c>
      <c r="C105" s="101" t="s">
        <v>383</v>
      </c>
      <c r="D105" s="101" t="s">
        <v>356</v>
      </c>
      <c r="E105" s="101" t="s">
        <v>769</v>
      </c>
      <c r="F105" s="5" t="s">
        <v>1896</v>
      </c>
    </row>
    <row r="106" spans="1:6" hidden="1">
      <c r="A106" s="101" t="s">
        <v>772</v>
      </c>
      <c r="B106" s="101" t="s">
        <v>771</v>
      </c>
      <c r="C106" s="101" t="s">
        <v>383</v>
      </c>
      <c r="D106" s="101" t="s">
        <v>344</v>
      </c>
      <c r="E106" s="101" t="s">
        <v>771</v>
      </c>
      <c r="F106" s="5" t="s">
        <v>2145</v>
      </c>
    </row>
    <row r="107" spans="1:6" hidden="1">
      <c r="A107" s="101" t="s">
        <v>774</v>
      </c>
      <c r="B107" s="101" t="s">
        <v>773</v>
      </c>
      <c r="C107" s="101" t="s">
        <v>383</v>
      </c>
      <c r="D107" s="101" t="s">
        <v>344</v>
      </c>
      <c r="E107" s="101" t="s">
        <v>773</v>
      </c>
      <c r="F107" s="5" t="s">
        <v>2146</v>
      </c>
    </row>
    <row r="108" spans="1:6" hidden="1">
      <c r="A108" s="101" t="s">
        <v>262</v>
      </c>
      <c r="B108" s="101" t="s">
        <v>775</v>
      </c>
      <c r="C108" s="101" t="s">
        <v>383</v>
      </c>
      <c r="D108" s="101" t="s">
        <v>344</v>
      </c>
      <c r="E108" s="101" t="s">
        <v>775</v>
      </c>
      <c r="F108" s="5" t="s">
        <v>1982</v>
      </c>
    </row>
    <row r="109" spans="1:6" hidden="1">
      <c r="A109" s="101" t="s">
        <v>129</v>
      </c>
      <c r="B109" s="101" t="s">
        <v>778</v>
      </c>
      <c r="C109" s="101" t="s">
        <v>385</v>
      </c>
      <c r="D109" s="101" t="s">
        <v>356</v>
      </c>
      <c r="E109" s="101" t="s">
        <v>778</v>
      </c>
      <c r="F109" s="5" t="s">
        <v>1897</v>
      </c>
    </row>
    <row r="110" spans="1:6" hidden="1">
      <c r="A110" s="101" t="s">
        <v>780</v>
      </c>
      <c r="B110" s="101" t="s">
        <v>779</v>
      </c>
      <c r="C110" s="101" t="s">
        <v>385</v>
      </c>
      <c r="D110" s="101" t="s">
        <v>347</v>
      </c>
      <c r="E110" s="101" t="s">
        <v>779</v>
      </c>
      <c r="F110" s="5" t="s">
        <v>2147</v>
      </c>
    </row>
    <row r="111" spans="1:6" hidden="1">
      <c r="A111" s="101" t="s">
        <v>782</v>
      </c>
      <c r="B111" s="101" t="s">
        <v>781</v>
      </c>
      <c r="C111" s="101" t="s">
        <v>385</v>
      </c>
      <c r="D111" s="101" t="s">
        <v>347</v>
      </c>
      <c r="E111" s="101" t="s">
        <v>781</v>
      </c>
      <c r="F111" s="5" t="s">
        <v>2148</v>
      </c>
    </row>
    <row r="112" spans="1:6" hidden="1">
      <c r="A112" s="101" t="s">
        <v>784</v>
      </c>
      <c r="B112" s="101" t="s">
        <v>783</v>
      </c>
      <c r="C112" s="101" t="s">
        <v>385</v>
      </c>
      <c r="D112" s="101" t="s">
        <v>344</v>
      </c>
      <c r="E112" s="101" t="s">
        <v>783</v>
      </c>
      <c r="F112" s="5" t="s">
        <v>2149</v>
      </c>
    </row>
    <row r="113" spans="1:6" hidden="1">
      <c r="A113" s="101" t="s">
        <v>786</v>
      </c>
      <c r="B113" s="101" t="s">
        <v>785</v>
      </c>
      <c r="C113" s="101" t="s">
        <v>385</v>
      </c>
      <c r="D113" s="101" t="s">
        <v>344</v>
      </c>
      <c r="E113" s="101" t="s">
        <v>785</v>
      </c>
      <c r="F113" s="5" t="s">
        <v>2150</v>
      </c>
    </row>
    <row r="114" spans="1:6" hidden="1">
      <c r="A114" s="101" t="s">
        <v>788</v>
      </c>
      <c r="B114" s="101" t="s">
        <v>787</v>
      </c>
      <c r="C114" s="101" t="s">
        <v>385</v>
      </c>
      <c r="D114" s="101" t="s">
        <v>344</v>
      </c>
      <c r="E114" s="101" t="s">
        <v>787</v>
      </c>
      <c r="F114" s="5" t="s">
        <v>2151</v>
      </c>
    </row>
    <row r="115" spans="1:6" hidden="1">
      <c r="A115" s="101" t="s">
        <v>132</v>
      </c>
      <c r="B115" s="101" t="s">
        <v>789</v>
      </c>
      <c r="C115" s="101" t="s">
        <v>385</v>
      </c>
      <c r="D115" s="101" t="s">
        <v>344</v>
      </c>
      <c r="E115" s="101" t="s">
        <v>789</v>
      </c>
      <c r="F115" s="5" t="s">
        <v>1983</v>
      </c>
    </row>
    <row r="116" spans="1:6" hidden="1">
      <c r="A116" s="101" t="s">
        <v>127</v>
      </c>
      <c r="B116" s="101" t="s">
        <v>790</v>
      </c>
      <c r="C116" s="101" t="s">
        <v>386</v>
      </c>
      <c r="D116" s="101" t="s">
        <v>356</v>
      </c>
      <c r="E116" s="101" t="s">
        <v>790</v>
      </c>
      <c r="F116" s="5" t="s">
        <v>1898</v>
      </c>
    </row>
    <row r="117" spans="1:6" hidden="1">
      <c r="A117" s="101" t="s">
        <v>792</v>
      </c>
      <c r="B117" s="101" t="s">
        <v>791</v>
      </c>
      <c r="C117" s="101" t="s">
        <v>386</v>
      </c>
      <c r="D117" s="101" t="s">
        <v>347</v>
      </c>
      <c r="E117" s="101" t="s">
        <v>791</v>
      </c>
      <c r="F117" s="5" t="s">
        <v>2152</v>
      </c>
    </row>
    <row r="118" spans="1:6" hidden="1">
      <c r="A118" s="101" t="s">
        <v>126</v>
      </c>
      <c r="B118" s="101" t="s">
        <v>793</v>
      </c>
      <c r="C118" s="101" t="s">
        <v>386</v>
      </c>
      <c r="D118" s="101" t="s">
        <v>344</v>
      </c>
      <c r="E118" s="101" t="s">
        <v>793</v>
      </c>
      <c r="F118" s="5" t="s">
        <v>1984</v>
      </c>
    </row>
    <row r="119" spans="1:6" hidden="1">
      <c r="A119" s="101" t="s">
        <v>795</v>
      </c>
      <c r="B119" s="101" t="s">
        <v>794</v>
      </c>
      <c r="C119" s="101" t="s">
        <v>386</v>
      </c>
      <c r="D119" s="101" t="s">
        <v>344</v>
      </c>
      <c r="E119" s="101" t="s">
        <v>794</v>
      </c>
      <c r="F119" s="5" t="s">
        <v>2153</v>
      </c>
    </row>
    <row r="120" spans="1:6" hidden="1">
      <c r="A120" s="101" t="s">
        <v>797</v>
      </c>
      <c r="B120" s="101" t="s">
        <v>796</v>
      </c>
      <c r="C120" s="101" t="s">
        <v>386</v>
      </c>
      <c r="D120" s="101" t="s">
        <v>344</v>
      </c>
      <c r="E120" s="101" t="s">
        <v>796</v>
      </c>
      <c r="F120" s="5" t="s">
        <v>2154</v>
      </c>
    </row>
    <row r="121" spans="1:6" hidden="1">
      <c r="A121" s="102" t="s">
        <v>155</v>
      </c>
      <c r="B121" s="102" t="s">
        <v>802</v>
      </c>
      <c r="C121" s="102" t="s">
        <v>389</v>
      </c>
      <c r="D121" s="102" t="s">
        <v>356</v>
      </c>
      <c r="E121" s="102" t="s">
        <v>802</v>
      </c>
      <c r="F121" s="5" t="s">
        <v>1899</v>
      </c>
    </row>
    <row r="122" spans="1:6" hidden="1">
      <c r="A122" s="102" t="s">
        <v>804</v>
      </c>
      <c r="B122" s="102" t="s">
        <v>803</v>
      </c>
      <c r="C122" s="102" t="s">
        <v>389</v>
      </c>
      <c r="D122" s="102" t="s">
        <v>347</v>
      </c>
      <c r="E122" s="102" t="s">
        <v>803</v>
      </c>
      <c r="F122" s="5" t="s">
        <v>2155</v>
      </c>
    </row>
    <row r="123" spans="1:6" hidden="1">
      <c r="A123" s="102" t="s">
        <v>806</v>
      </c>
      <c r="B123" s="102" t="s">
        <v>805</v>
      </c>
      <c r="C123" s="102" t="s">
        <v>389</v>
      </c>
      <c r="D123" s="102" t="s">
        <v>347</v>
      </c>
      <c r="E123" s="102" t="s">
        <v>805</v>
      </c>
      <c r="F123" s="5" t="s">
        <v>2156</v>
      </c>
    </row>
    <row r="124" spans="1:6" hidden="1">
      <c r="A124" s="102" t="s">
        <v>158</v>
      </c>
      <c r="B124" s="102" t="s">
        <v>807</v>
      </c>
      <c r="C124" s="102" t="s">
        <v>389</v>
      </c>
      <c r="D124" s="102" t="s">
        <v>344</v>
      </c>
      <c r="E124" s="102" t="s">
        <v>807</v>
      </c>
      <c r="F124" s="5" t="s">
        <v>1985</v>
      </c>
    </row>
    <row r="125" spans="1:6" hidden="1">
      <c r="A125" s="102" t="s">
        <v>809</v>
      </c>
      <c r="B125" s="102" t="s">
        <v>808</v>
      </c>
      <c r="C125" s="102" t="s">
        <v>389</v>
      </c>
      <c r="D125" s="102" t="s">
        <v>344</v>
      </c>
      <c r="E125" s="102" t="s">
        <v>808</v>
      </c>
      <c r="F125" s="5" t="s">
        <v>2157</v>
      </c>
    </row>
    <row r="126" spans="1:6" hidden="1">
      <c r="A126" s="102" t="s">
        <v>811</v>
      </c>
      <c r="B126" s="102" t="s">
        <v>810</v>
      </c>
      <c r="C126" s="102" t="s">
        <v>389</v>
      </c>
      <c r="D126" s="102" t="s">
        <v>344</v>
      </c>
      <c r="E126" s="102" t="s">
        <v>810</v>
      </c>
      <c r="F126" s="5" t="s">
        <v>2158</v>
      </c>
    </row>
    <row r="127" spans="1:6" hidden="1">
      <c r="A127" s="102" t="s">
        <v>147</v>
      </c>
      <c r="B127" s="102" t="s">
        <v>812</v>
      </c>
      <c r="C127" s="102" t="s">
        <v>390</v>
      </c>
      <c r="D127" s="102" t="s">
        <v>356</v>
      </c>
      <c r="E127" s="102" t="s">
        <v>812</v>
      </c>
      <c r="F127" s="5" t="s">
        <v>1900</v>
      </c>
    </row>
    <row r="128" spans="1:6" hidden="1">
      <c r="A128" s="102" t="s">
        <v>814</v>
      </c>
      <c r="B128" s="102" t="s">
        <v>813</v>
      </c>
      <c r="C128" s="102" t="s">
        <v>390</v>
      </c>
      <c r="D128" s="102" t="s">
        <v>344</v>
      </c>
      <c r="E128" s="102" t="s">
        <v>813</v>
      </c>
      <c r="F128" s="5" t="s">
        <v>2159</v>
      </c>
    </row>
    <row r="129" spans="1:6" hidden="1">
      <c r="A129" s="102" t="s">
        <v>161</v>
      </c>
      <c r="B129" s="102" t="s">
        <v>815</v>
      </c>
      <c r="C129" s="102" t="s">
        <v>390</v>
      </c>
      <c r="D129" s="102" t="s">
        <v>344</v>
      </c>
      <c r="E129" s="102" t="s">
        <v>815</v>
      </c>
      <c r="F129" s="5" t="s">
        <v>1986</v>
      </c>
    </row>
    <row r="130" spans="1:6" hidden="1">
      <c r="A130" s="102" t="s">
        <v>817</v>
      </c>
      <c r="B130" s="102" t="s">
        <v>816</v>
      </c>
      <c r="C130" s="102" t="s">
        <v>390</v>
      </c>
      <c r="D130" s="102" t="s">
        <v>344</v>
      </c>
      <c r="E130" s="102" t="s">
        <v>816</v>
      </c>
      <c r="F130" s="5" t="s">
        <v>2160</v>
      </c>
    </row>
    <row r="131" spans="1:6" hidden="1">
      <c r="A131" s="102" t="s">
        <v>819</v>
      </c>
      <c r="B131" s="102" t="s">
        <v>818</v>
      </c>
      <c r="C131" s="102" t="s">
        <v>390</v>
      </c>
      <c r="D131" s="102" t="s">
        <v>344</v>
      </c>
      <c r="E131" s="102" t="s">
        <v>818</v>
      </c>
      <c r="F131" s="5" t="s">
        <v>2161</v>
      </c>
    </row>
    <row r="132" spans="1:6" hidden="1">
      <c r="A132" s="102" t="s">
        <v>821</v>
      </c>
      <c r="B132" s="102" t="s">
        <v>820</v>
      </c>
      <c r="C132" s="102" t="s">
        <v>390</v>
      </c>
      <c r="D132" s="102" t="s">
        <v>344</v>
      </c>
      <c r="E132" s="102" t="s">
        <v>820</v>
      </c>
      <c r="F132" s="5" t="s">
        <v>2162</v>
      </c>
    </row>
    <row r="133" spans="1:6" hidden="1">
      <c r="A133" s="102" t="s">
        <v>823</v>
      </c>
      <c r="B133" s="102" t="s">
        <v>822</v>
      </c>
      <c r="C133" s="102" t="s">
        <v>390</v>
      </c>
      <c r="D133" s="102" t="s">
        <v>344</v>
      </c>
      <c r="E133" s="102" t="s">
        <v>822</v>
      </c>
      <c r="F133" s="5" t="s">
        <v>2163</v>
      </c>
    </row>
    <row r="134" spans="1:6" hidden="1">
      <c r="A134" s="102" t="s">
        <v>825</v>
      </c>
      <c r="B134" s="102" t="s">
        <v>824</v>
      </c>
      <c r="C134" s="102" t="s">
        <v>390</v>
      </c>
      <c r="D134" s="102" t="s">
        <v>344</v>
      </c>
      <c r="E134" s="102" t="s">
        <v>824</v>
      </c>
      <c r="F134" s="5" t="s">
        <v>2164</v>
      </c>
    </row>
    <row r="135" spans="1:6" hidden="1">
      <c r="A135" s="102" t="s">
        <v>827</v>
      </c>
      <c r="B135" s="102" t="s">
        <v>826</v>
      </c>
      <c r="C135" s="102" t="s">
        <v>391</v>
      </c>
      <c r="D135" s="102" t="s">
        <v>356</v>
      </c>
      <c r="E135" s="102" t="s">
        <v>826</v>
      </c>
      <c r="F135" s="5" t="s">
        <v>1901</v>
      </c>
    </row>
    <row r="136" spans="1:6" hidden="1">
      <c r="A136" s="102" t="s">
        <v>829</v>
      </c>
      <c r="B136" s="102" t="s">
        <v>828</v>
      </c>
      <c r="C136" s="102" t="s">
        <v>391</v>
      </c>
      <c r="D136" s="102" t="s">
        <v>344</v>
      </c>
      <c r="E136" s="102" t="s">
        <v>828</v>
      </c>
      <c r="F136" s="5" t="s">
        <v>2165</v>
      </c>
    </row>
    <row r="137" spans="1:6" hidden="1">
      <c r="A137" s="102" t="s">
        <v>831</v>
      </c>
      <c r="B137" s="102" t="s">
        <v>830</v>
      </c>
      <c r="C137" s="102" t="s">
        <v>391</v>
      </c>
      <c r="D137" s="102" t="s">
        <v>344</v>
      </c>
      <c r="E137" s="102" t="s">
        <v>830</v>
      </c>
      <c r="F137" s="5" t="s">
        <v>2166</v>
      </c>
    </row>
    <row r="138" spans="1:6" hidden="1">
      <c r="A138" s="102" t="s">
        <v>833</v>
      </c>
      <c r="B138" s="102" t="s">
        <v>832</v>
      </c>
      <c r="C138" s="102" t="s">
        <v>391</v>
      </c>
      <c r="D138" s="102" t="s">
        <v>344</v>
      </c>
      <c r="E138" s="102" t="s">
        <v>832</v>
      </c>
      <c r="F138" s="5" t="s">
        <v>2167</v>
      </c>
    </row>
    <row r="139" spans="1:6" hidden="1">
      <c r="A139" s="102" t="s">
        <v>156</v>
      </c>
      <c r="B139" s="102" t="s">
        <v>834</v>
      </c>
      <c r="C139" s="102" t="s">
        <v>391</v>
      </c>
      <c r="D139" s="102" t="s">
        <v>344</v>
      </c>
      <c r="E139" s="102" t="s">
        <v>834</v>
      </c>
      <c r="F139" s="5" t="s">
        <v>1987</v>
      </c>
    </row>
    <row r="140" spans="1:6" hidden="1">
      <c r="A140" s="102" t="s">
        <v>170</v>
      </c>
      <c r="B140" s="102" t="s">
        <v>837</v>
      </c>
      <c r="C140" s="102" t="s">
        <v>393</v>
      </c>
      <c r="D140" s="102" t="s">
        <v>356</v>
      </c>
      <c r="E140" s="102" t="s">
        <v>837</v>
      </c>
      <c r="F140" s="5" t="s">
        <v>1902</v>
      </c>
    </row>
    <row r="141" spans="1:6" hidden="1">
      <c r="A141" s="102" t="s">
        <v>165</v>
      </c>
      <c r="B141" s="102" t="s">
        <v>838</v>
      </c>
      <c r="C141" s="102" t="s">
        <v>393</v>
      </c>
      <c r="D141" s="102" t="s">
        <v>347</v>
      </c>
      <c r="E141" s="102" t="s">
        <v>838</v>
      </c>
      <c r="F141" s="5" t="s">
        <v>1988</v>
      </c>
    </row>
    <row r="142" spans="1:6" hidden="1">
      <c r="A142" s="102" t="s">
        <v>840</v>
      </c>
      <c r="B142" s="102" t="s">
        <v>839</v>
      </c>
      <c r="C142" s="102" t="s">
        <v>393</v>
      </c>
      <c r="D142" s="102" t="s">
        <v>344</v>
      </c>
      <c r="E142" s="102" t="s">
        <v>839</v>
      </c>
      <c r="F142" s="5" t="s">
        <v>2168</v>
      </c>
    </row>
    <row r="143" spans="1:6" hidden="1">
      <c r="A143" s="102" t="s">
        <v>842</v>
      </c>
      <c r="B143" s="102" t="s">
        <v>841</v>
      </c>
      <c r="C143" s="102" t="s">
        <v>393</v>
      </c>
      <c r="D143" s="102" t="s">
        <v>344</v>
      </c>
      <c r="E143" s="102" t="s">
        <v>841</v>
      </c>
      <c r="F143" s="5" t="s">
        <v>2169</v>
      </c>
    </row>
    <row r="144" spans="1:6" hidden="1">
      <c r="A144" s="102" t="s">
        <v>844</v>
      </c>
      <c r="B144" s="102" t="s">
        <v>843</v>
      </c>
      <c r="C144" s="102" t="s">
        <v>393</v>
      </c>
      <c r="D144" s="102" t="s">
        <v>344</v>
      </c>
      <c r="E144" s="102" t="s">
        <v>843</v>
      </c>
      <c r="F144" s="5" t="s">
        <v>2170</v>
      </c>
    </row>
    <row r="145" spans="1:6" hidden="1">
      <c r="A145" s="102" t="s">
        <v>846</v>
      </c>
      <c r="B145" s="102" t="s">
        <v>845</v>
      </c>
      <c r="C145" s="102" t="s">
        <v>393</v>
      </c>
      <c r="D145" s="102" t="s">
        <v>344</v>
      </c>
      <c r="E145" s="102" t="s">
        <v>845</v>
      </c>
      <c r="F145" s="5" t="s">
        <v>2171</v>
      </c>
    </row>
    <row r="146" spans="1:6" hidden="1">
      <c r="A146" s="102" t="s">
        <v>167</v>
      </c>
      <c r="B146" s="102" t="s">
        <v>847</v>
      </c>
      <c r="C146" s="102" t="s">
        <v>393</v>
      </c>
      <c r="D146" s="102" t="s">
        <v>344</v>
      </c>
      <c r="E146" s="102" t="s">
        <v>847</v>
      </c>
      <c r="F146" s="5" t="s">
        <v>1989</v>
      </c>
    </row>
    <row r="147" spans="1:6" hidden="1">
      <c r="A147" s="102" t="s">
        <v>166</v>
      </c>
      <c r="B147" s="102" t="s">
        <v>848</v>
      </c>
      <c r="C147" s="102" t="s">
        <v>394</v>
      </c>
      <c r="D147" s="102" t="s">
        <v>356</v>
      </c>
      <c r="E147" s="102" t="s">
        <v>848</v>
      </c>
      <c r="F147" s="5" t="s">
        <v>1903</v>
      </c>
    </row>
    <row r="148" spans="1:6" hidden="1">
      <c r="A148" s="102" t="s">
        <v>850</v>
      </c>
      <c r="B148" s="102" t="s">
        <v>849</v>
      </c>
      <c r="C148" s="102" t="s">
        <v>394</v>
      </c>
      <c r="D148" s="102" t="s">
        <v>347</v>
      </c>
      <c r="E148" s="102" t="s">
        <v>849</v>
      </c>
      <c r="F148" s="5" t="s">
        <v>2172</v>
      </c>
    </row>
    <row r="149" spans="1:6" hidden="1">
      <c r="A149" s="102" t="s">
        <v>852</v>
      </c>
      <c r="B149" s="102" t="s">
        <v>851</v>
      </c>
      <c r="C149" s="102" t="s">
        <v>394</v>
      </c>
      <c r="D149" s="102" t="s">
        <v>344</v>
      </c>
      <c r="E149" s="102" t="s">
        <v>851</v>
      </c>
      <c r="F149" s="5" t="s">
        <v>2173</v>
      </c>
    </row>
    <row r="150" spans="1:6" hidden="1">
      <c r="A150" s="102" t="s">
        <v>854</v>
      </c>
      <c r="B150" s="102" t="s">
        <v>853</v>
      </c>
      <c r="C150" s="102" t="s">
        <v>394</v>
      </c>
      <c r="D150" s="102" t="s">
        <v>344</v>
      </c>
      <c r="E150" s="102" t="s">
        <v>853</v>
      </c>
      <c r="F150" s="5" t="s">
        <v>2174</v>
      </c>
    </row>
    <row r="151" spans="1:6" hidden="1">
      <c r="A151" s="102" t="s">
        <v>856</v>
      </c>
      <c r="B151" s="102" t="s">
        <v>855</v>
      </c>
      <c r="C151" s="102" t="s">
        <v>394</v>
      </c>
      <c r="D151" s="102" t="s">
        <v>344</v>
      </c>
      <c r="E151" s="102" t="s">
        <v>855</v>
      </c>
      <c r="F151" s="5" t="s">
        <v>2175</v>
      </c>
    </row>
    <row r="152" spans="1:6" hidden="1">
      <c r="A152" s="102" t="s">
        <v>167</v>
      </c>
      <c r="B152" s="102" t="s">
        <v>847</v>
      </c>
      <c r="C152" s="102" t="s">
        <v>394</v>
      </c>
      <c r="D152" s="102" t="s">
        <v>344</v>
      </c>
      <c r="E152" s="102" t="s">
        <v>847</v>
      </c>
      <c r="F152" s="5" t="s">
        <v>1989</v>
      </c>
    </row>
    <row r="153" spans="1:6" hidden="1">
      <c r="A153" s="102" t="s">
        <v>858</v>
      </c>
      <c r="B153" s="102" t="s">
        <v>857</v>
      </c>
      <c r="C153" s="102" t="s">
        <v>395</v>
      </c>
      <c r="D153" s="102" t="s">
        <v>356</v>
      </c>
      <c r="E153" s="102" t="s">
        <v>857</v>
      </c>
      <c r="F153" s="5" t="s">
        <v>1904</v>
      </c>
    </row>
    <row r="154" spans="1:6" hidden="1">
      <c r="A154" s="102" t="s">
        <v>860</v>
      </c>
      <c r="B154" s="102" t="s">
        <v>859</v>
      </c>
      <c r="C154" s="102" t="s">
        <v>395</v>
      </c>
      <c r="D154" s="102" t="s">
        <v>347</v>
      </c>
      <c r="E154" s="102" t="s">
        <v>859</v>
      </c>
      <c r="F154" s="5" t="s">
        <v>2176</v>
      </c>
    </row>
    <row r="155" spans="1:6" hidden="1">
      <c r="A155" s="102" t="s">
        <v>862</v>
      </c>
      <c r="B155" s="102" t="s">
        <v>861</v>
      </c>
      <c r="C155" s="102" t="s">
        <v>395</v>
      </c>
      <c r="D155" s="102" t="s">
        <v>344</v>
      </c>
      <c r="E155" s="102" t="s">
        <v>861</v>
      </c>
      <c r="F155" s="5" t="s">
        <v>2177</v>
      </c>
    </row>
    <row r="156" spans="1:6" hidden="1">
      <c r="A156" s="102" t="s">
        <v>263</v>
      </c>
      <c r="B156" s="102" t="s">
        <v>863</v>
      </c>
      <c r="C156" s="102" t="s">
        <v>395</v>
      </c>
      <c r="D156" s="102" t="s">
        <v>344</v>
      </c>
      <c r="E156" s="102" t="s">
        <v>863</v>
      </c>
      <c r="F156" s="5" t="s">
        <v>1991</v>
      </c>
    </row>
    <row r="157" spans="1:6" hidden="1">
      <c r="A157" s="102" t="s">
        <v>865</v>
      </c>
      <c r="B157" s="102" t="s">
        <v>864</v>
      </c>
      <c r="C157" s="102" t="s">
        <v>396</v>
      </c>
      <c r="D157" s="102" t="s">
        <v>356</v>
      </c>
      <c r="E157" s="102" t="s">
        <v>864</v>
      </c>
      <c r="F157" s="5" t="s">
        <v>1905</v>
      </c>
    </row>
    <row r="158" spans="1:6" hidden="1">
      <c r="A158" s="102" t="s">
        <v>867</v>
      </c>
      <c r="B158" s="102" t="s">
        <v>866</v>
      </c>
      <c r="C158" s="102" t="s">
        <v>396</v>
      </c>
      <c r="D158" s="102" t="s">
        <v>344</v>
      </c>
      <c r="E158" s="102" t="s">
        <v>866</v>
      </c>
      <c r="F158" s="5" t="s">
        <v>2178</v>
      </c>
    </row>
    <row r="159" spans="1:6" hidden="1">
      <c r="A159" s="102" t="s">
        <v>869</v>
      </c>
      <c r="B159" s="102" t="s">
        <v>868</v>
      </c>
      <c r="C159" s="102" t="s">
        <v>396</v>
      </c>
      <c r="D159" s="102" t="s">
        <v>344</v>
      </c>
      <c r="E159" s="102" t="s">
        <v>868</v>
      </c>
      <c r="F159" s="5" t="s">
        <v>2179</v>
      </c>
    </row>
    <row r="160" spans="1:6" hidden="1">
      <c r="A160" s="102" t="s">
        <v>263</v>
      </c>
      <c r="B160" s="102" t="s">
        <v>863</v>
      </c>
      <c r="C160" s="102" t="s">
        <v>396</v>
      </c>
      <c r="D160" s="102" t="s">
        <v>344</v>
      </c>
      <c r="E160" s="102" t="s">
        <v>863</v>
      </c>
      <c r="F160" s="5" t="s">
        <v>1991</v>
      </c>
    </row>
    <row r="161" spans="1:6" hidden="1">
      <c r="A161" s="102" t="s">
        <v>157</v>
      </c>
      <c r="B161" s="102" t="s">
        <v>872</v>
      </c>
      <c r="C161" s="102" t="s">
        <v>398</v>
      </c>
      <c r="D161" s="102" t="s">
        <v>356</v>
      </c>
      <c r="E161" s="102" t="s">
        <v>872</v>
      </c>
      <c r="F161" s="5" t="s">
        <v>1906</v>
      </c>
    </row>
    <row r="162" spans="1:6" hidden="1">
      <c r="A162" s="102" t="s">
        <v>874</v>
      </c>
      <c r="B162" s="102" t="s">
        <v>873</v>
      </c>
      <c r="C162" s="102" t="s">
        <v>398</v>
      </c>
      <c r="D162" s="102" t="s">
        <v>347</v>
      </c>
      <c r="E162" s="102" t="s">
        <v>873</v>
      </c>
      <c r="F162" s="5" t="s">
        <v>2180</v>
      </c>
    </row>
    <row r="163" spans="1:6" hidden="1">
      <c r="A163" s="102" t="s">
        <v>876</v>
      </c>
      <c r="B163" s="102" t="s">
        <v>875</v>
      </c>
      <c r="C163" s="102" t="s">
        <v>398</v>
      </c>
      <c r="D163" s="102" t="s">
        <v>347</v>
      </c>
      <c r="E163" s="102" t="s">
        <v>875</v>
      </c>
      <c r="F163" s="5" t="s">
        <v>2181</v>
      </c>
    </row>
    <row r="164" spans="1:6" hidden="1">
      <c r="A164" s="102" t="s">
        <v>878</v>
      </c>
      <c r="B164" s="102" t="s">
        <v>877</v>
      </c>
      <c r="C164" s="102" t="s">
        <v>398</v>
      </c>
      <c r="D164" s="102" t="s">
        <v>344</v>
      </c>
      <c r="E164" s="102" t="s">
        <v>877</v>
      </c>
      <c r="F164" s="5" t="s">
        <v>2182</v>
      </c>
    </row>
    <row r="165" spans="1:6" hidden="1">
      <c r="A165" s="102" t="s">
        <v>880</v>
      </c>
      <c r="B165" s="102" t="s">
        <v>879</v>
      </c>
      <c r="C165" s="102" t="s">
        <v>398</v>
      </c>
      <c r="D165" s="102" t="s">
        <v>344</v>
      </c>
      <c r="E165" s="102" t="s">
        <v>879</v>
      </c>
      <c r="F165" s="5" t="s">
        <v>2183</v>
      </c>
    </row>
    <row r="166" spans="1:6" hidden="1">
      <c r="A166" s="102" t="s">
        <v>882</v>
      </c>
      <c r="B166" s="102" t="s">
        <v>881</v>
      </c>
      <c r="C166" s="102" t="s">
        <v>398</v>
      </c>
      <c r="D166" s="102" t="s">
        <v>344</v>
      </c>
      <c r="E166" s="102" t="s">
        <v>881</v>
      </c>
      <c r="F166" s="5" t="s">
        <v>2184</v>
      </c>
    </row>
    <row r="167" spans="1:6" hidden="1">
      <c r="A167" s="102" t="s">
        <v>884</v>
      </c>
      <c r="B167" s="102" t="s">
        <v>883</v>
      </c>
      <c r="C167" s="102" t="s">
        <v>398</v>
      </c>
      <c r="D167" s="102" t="s">
        <v>344</v>
      </c>
      <c r="E167" s="102" t="s">
        <v>883</v>
      </c>
      <c r="F167" s="5" t="s">
        <v>2185</v>
      </c>
    </row>
    <row r="168" spans="1:6" hidden="1">
      <c r="A168" s="102" t="s">
        <v>886</v>
      </c>
      <c r="B168" s="102" t="s">
        <v>885</v>
      </c>
      <c r="C168" s="102" t="s">
        <v>399</v>
      </c>
      <c r="D168" s="102" t="s">
        <v>356</v>
      </c>
      <c r="E168" s="102" t="s">
        <v>885</v>
      </c>
      <c r="F168" s="5" t="s">
        <v>1907</v>
      </c>
    </row>
    <row r="169" spans="1:6" hidden="1">
      <c r="A169" s="102" t="s">
        <v>888</v>
      </c>
      <c r="B169" s="102" t="s">
        <v>887</v>
      </c>
      <c r="C169" s="102" t="s">
        <v>399</v>
      </c>
      <c r="D169" s="102" t="s">
        <v>344</v>
      </c>
      <c r="E169" s="102" t="s">
        <v>887</v>
      </c>
      <c r="F169" s="5" t="s">
        <v>2186</v>
      </c>
    </row>
    <row r="170" spans="1:6" hidden="1">
      <c r="A170" s="102" t="s">
        <v>890</v>
      </c>
      <c r="B170" s="102" t="s">
        <v>889</v>
      </c>
      <c r="C170" s="102" t="s">
        <v>399</v>
      </c>
      <c r="D170" s="102" t="s">
        <v>344</v>
      </c>
      <c r="E170" s="102" t="s">
        <v>889</v>
      </c>
      <c r="F170" s="5" t="s">
        <v>2187</v>
      </c>
    </row>
    <row r="171" spans="1:6" hidden="1">
      <c r="A171" s="102" t="s">
        <v>892</v>
      </c>
      <c r="B171" s="102" t="s">
        <v>891</v>
      </c>
      <c r="C171" s="102" t="s">
        <v>399</v>
      </c>
      <c r="D171" s="102" t="s">
        <v>344</v>
      </c>
      <c r="E171" s="102" t="s">
        <v>891</v>
      </c>
      <c r="F171" s="5" t="s">
        <v>2188</v>
      </c>
    </row>
    <row r="172" spans="1:6" hidden="1">
      <c r="A172" s="101" t="s">
        <v>148</v>
      </c>
      <c r="B172" s="101" t="s">
        <v>897</v>
      </c>
      <c r="C172" s="101" t="s">
        <v>402</v>
      </c>
      <c r="D172" s="101" t="s">
        <v>356</v>
      </c>
      <c r="E172" s="101" t="s">
        <v>897</v>
      </c>
      <c r="F172" s="5" t="s">
        <v>1908</v>
      </c>
    </row>
    <row r="173" spans="1:6" hidden="1">
      <c r="A173" s="101" t="s">
        <v>899</v>
      </c>
      <c r="B173" s="101" t="s">
        <v>898</v>
      </c>
      <c r="C173" s="101" t="s">
        <v>402</v>
      </c>
      <c r="D173" s="101" t="s">
        <v>347</v>
      </c>
      <c r="E173" s="101" t="s">
        <v>898</v>
      </c>
      <c r="F173" s="5" t="s">
        <v>2189</v>
      </c>
    </row>
    <row r="174" spans="1:6" hidden="1">
      <c r="A174" s="101" t="s">
        <v>146</v>
      </c>
      <c r="B174" s="101" t="s">
        <v>900</v>
      </c>
      <c r="C174" s="101" t="s">
        <v>402</v>
      </c>
      <c r="D174" s="101" t="s">
        <v>344</v>
      </c>
      <c r="E174" s="101" t="s">
        <v>900</v>
      </c>
      <c r="F174" s="5" t="s">
        <v>1992</v>
      </c>
    </row>
    <row r="175" spans="1:6" hidden="1">
      <c r="A175" s="101" t="s">
        <v>902</v>
      </c>
      <c r="B175" s="101" t="s">
        <v>901</v>
      </c>
      <c r="C175" s="101" t="s">
        <v>402</v>
      </c>
      <c r="D175" s="101" t="s">
        <v>344</v>
      </c>
      <c r="E175" s="101" t="s">
        <v>901</v>
      </c>
      <c r="F175" s="5" t="s">
        <v>2190</v>
      </c>
    </row>
    <row r="176" spans="1:6" hidden="1">
      <c r="A176" s="101" t="s">
        <v>904</v>
      </c>
      <c r="B176" s="101" t="s">
        <v>903</v>
      </c>
      <c r="C176" s="101" t="s">
        <v>402</v>
      </c>
      <c r="D176" s="101" t="s">
        <v>344</v>
      </c>
      <c r="E176" s="101" t="s">
        <v>903</v>
      </c>
      <c r="F176" s="5" t="s">
        <v>2191</v>
      </c>
    </row>
    <row r="177" spans="1:6" hidden="1">
      <c r="A177" s="101" t="s">
        <v>906</v>
      </c>
      <c r="B177" s="101" t="s">
        <v>905</v>
      </c>
      <c r="C177" s="101" t="s">
        <v>402</v>
      </c>
      <c r="D177" s="101" t="s">
        <v>344</v>
      </c>
      <c r="E177" s="101" t="s">
        <v>905</v>
      </c>
      <c r="F177" s="5" t="s">
        <v>2192</v>
      </c>
    </row>
    <row r="178" spans="1:6" hidden="1">
      <c r="A178" s="101" t="s">
        <v>144</v>
      </c>
      <c r="B178" s="101" t="s">
        <v>907</v>
      </c>
      <c r="C178" s="101" t="s">
        <v>402</v>
      </c>
      <c r="D178" s="101" t="s">
        <v>344</v>
      </c>
      <c r="E178" s="101" t="s">
        <v>907</v>
      </c>
      <c r="F178" s="5" t="s">
        <v>1993</v>
      </c>
    </row>
    <row r="179" spans="1:6" hidden="1">
      <c r="A179" s="101" t="s">
        <v>159</v>
      </c>
      <c r="B179" s="101" t="s">
        <v>908</v>
      </c>
      <c r="C179" s="101" t="s">
        <v>403</v>
      </c>
      <c r="D179" s="101" t="s">
        <v>356</v>
      </c>
      <c r="E179" s="101" t="s">
        <v>908</v>
      </c>
      <c r="F179" s="5" t="s">
        <v>1909</v>
      </c>
    </row>
    <row r="180" spans="1:6" hidden="1">
      <c r="A180" s="101" t="s">
        <v>910</v>
      </c>
      <c r="B180" s="101" t="s">
        <v>909</v>
      </c>
      <c r="C180" s="101" t="s">
        <v>403</v>
      </c>
      <c r="D180" s="101" t="s">
        <v>347</v>
      </c>
      <c r="E180" s="101" t="s">
        <v>909</v>
      </c>
      <c r="F180" s="5" t="s">
        <v>2193</v>
      </c>
    </row>
    <row r="181" spans="1:6" hidden="1">
      <c r="A181" s="101" t="s">
        <v>912</v>
      </c>
      <c r="B181" s="101" t="s">
        <v>911</v>
      </c>
      <c r="C181" s="101" t="s">
        <v>403</v>
      </c>
      <c r="D181" s="101" t="s">
        <v>347</v>
      </c>
      <c r="E181" s="101" t="s">
        <v>911</v>
      </c>
      <c r="F181" s="5" t="s">
        <v>2194</v>
      </c>
    </row>
    <row r="182" spans="1:6" hidden="1">
      <c r="A182" s="101" t="s">
        <v>914</v>
      </c>
      <c r="B182" s="101" t="s">
        <v>913</v>
      </c>
      <c r="C182" s="101" t="s">
        <v>403</v>
      </c>
      <c r="D182" s="101" t="s">
        <v>344</v>
      </c>
      <c r="E182" s="101" t="s">
        <v>913</v>
      </c>
      <c r="F182" s="5" t="s">
        <v>2195</v>
      </c>
    </row>
    <row r="183" spans="1:6" hidden="1">
      <c r="A183" s="101" t="s">
        <v>916</v>
      </c>
      <c r="B183" s="101" t="s">
        <v>915</v>
      </c>
      <c r="C183" s="101" t="s">
        <v>403</v>
      </c>
      <c r="D183" s="101" t="s">
        <v>344</v>
      </c>
      <c r="E183" s="101" t="s">
        <v>915</v>
      </c>
      <c r="F183" s="5" t="s">
        <v>2196</v>
      </c>
    </row>
    <row r="184" spans="1:6" hidden="1">
      <c r="A184" s="101" t="s">
        <v>918</v>
      </c>
      <c r="B184" s="101" t="s">
        <v>917</v>
      </c>
      <c r="C184" s="101" t="s">
        <v>404</v>
      </c>
      <c r="D184" s="101" t="s">
        <v>356</v>
      </c>
      <c r="E184" s="101" t="s">
        <v>917</v>
      </c>
      <c r="F184" s="5" t="s">
        <v>1910</v>
      </c>
    </row>
    <row r="185" spans="1:6" hidden="1">
      <c r="A185" s="101" t="s">
        <v>920</v>
      </c>
      <c r="B185" s="101" t="s">
        <v>919</v>
      </c>
      <c r="C185" s="101" t="s">
        <v>404</v>
      </c>
      <c r="D185" s="101" t="s">
        <v>347</v>
      </c>
      <c r="E185" s="101" t="s">
        <v>919</v>
      </c>
      <c r="F185" s="5" t="s">
        <v>2197</v>
      </c>
    </row>
    <row r="186" spans="1:6" hidden="1">
      <c r="A186" s="101" t="s">
        <v>922</v>
      </c>
      <c r="B186" s="101" t="s">
        <v>921</v>
      </c>
      <c r="C186" s="101" t="s">
        <v>404</v>
      </c>
      <c r="D186" s="101" t="s">
        <v>344</v>
      </c>
      <c r="E186" s="101" t="s">
        <v>921</v>
      </c>
      <c r="F186" s="5" t="s">
        <v>2198</v>
      </c>
    </row>
    <row r="187" spans="1:6" hidden="1">
      <c r="A187" s="101" t="s">
        <v>924</v>
      </c>
      <c r="B187" s="101" t="s">
        <v>923</v>
      </c>
      <c r="C187" s="101" t="s">
        <v>404</v>
      </c>
      <c r="D187" s="101" t="s">
        <v>344</v>
      </c>
      <c r="E187" s="101" t="s">
        <v>923</v>
      </c>
      <c r="F187" s="5" t="s">
        <v>2199</v>
      </c>
    </row>
    <row r="188" spans="1:6" hidden="1">
      <c r="A188" s="101" t="s">
        <v>914</v>
      </c>
      <c r="B188" s="101" t="s">
        <v>913</v>
      </c>
      <c r="C188" s="101" t="s">
        <v>404</v>
      </c>
      <c r="D188" s="101" t="s">
        <v>344</v>
      </c>
      <c r="E188" s="101" t="s">
        <v>913</v>
      </c>
      <c r="F188" s="5" t="s">
        <v>2195</v>
      </c>
    </row>
    <row r="189" spans="1:6" hidden="1">
      <c r="A189" s="101" t="s">
        <v>928</v>
      </c>
      <c r="B189" s="101" t="s">
        <v>927</v>
      </c>
      <c r="C189" s="101" t="s">
        <v>406</v>
      </c>
      <c r="D189" s="101" t="s">
        <v>356</v>
      </c>
      <c r="E189" s="101" t="s">
        <v>927</v>
      </c>
      <c r="F189" s="5" t="s">
        <v>1911</v>
      </c>
    </row>
    <row r="190" spans="1:6" hidden="1">
      <c r="A190" s="101" t="s">
        <v>930</v>
      </c>
      <c r="B190" s="101" t="s">
        <v>929</v>
      </c>
      <c r="C190" s="101" t="s">
        <v>406</v>
      </c>
      <c r="D190" s="101" t="s">
        <v>344</v>
      </c>
      <c r="E190" s="101" t="s">
        <v>929</v>
      </c>
      <c r="F190" s="5" t="s">
        <v>2200</v>
      </c>
    </row>
    <row r="191" spans="1:6" hidden="1">
      <c r="A191" s="101" t="s">
        <v>932</v>
      </c>
      <c r="B191" s="101" t="s">
        <v>931</v>
      </c>
      <c r="C191" s="101" t="s">
        <v>406</v>
      </c>
      <c r="D191" s="101" t="s">
        <v>344</v>
      </c>
      <c r="E191" s="101" t="s">
        <v>931</v>
      </c>
      <c r="F191" s="5" t="s">
        <v>2201</v>
      </c>
    </row>
    <row r="192" spans="1:6" hidden="1">
      <c r="A192" s="101" t="s">
        <v>934</v>
      </c>
      <c r="B192" s="101" t="s">
        <v>933</v>
      </c>
      <c r="C192" s="101" t="s">
        <v>406</v>
      </c>
      <c r="D192" s="101" t="s">
        <v>344</v>
      </c>
      <c r="E192" s="101" t="s">
        <v>933</v>
      </c>
      <c r="F192" s="5" t="s">
        <v>2202</v>
      </c>
    </row>
    <row r="193" spans="1:6" hidden="1">
      <c r="A193" s="101" t="s">
        <v>149</v>
      </c>
      <c r="B193" s="101" t="s">
        <v>935</v>
      </c>
      <c r="C193" s="101" t="s">
        <v>406</v>
      </c>
      <c r="D193" s="101" t="s">
        <v>344</v>
      </c>
      <c r="E193" s="101" t="s">
        <v>935</v>
      </c>
      <c r="F193" s="5" t="s">
        <v>1994</v>
      </c>
    </row>
    <row r="194" spans="1:6" hidden="1">
      <c r="A194" s="101" t="s">
        <v>937</v>
      </c>
      <c r="B194" s="101" t="s">
        <v>936</v>
      </c>
      <c r="C194" s="101" t="s">
        <v>407</v>
      </c>
      <c r="D194" s="101" t="s">
        <v>356</v>
      </c>
      <c r="E194" s="101" t="s">
        <v>936</v>
      </c>
      <c r="F194" s="5" t="s">
        <v>1912</v>
      </c>
    </row>
    <row r="195" spans="1:6" hidden="1">
      <c r="A195" s="101" t="s">
        <v>939</v>
      </c>
      <c r="B195" s="101" t="s">
        <v>938</v>
      </c>
      <c r="C195" s="101" t="s">
        <v>407</v>
      </c>
      <c r="D195" s="101" t="s">
        <v>347</v>
      </c>
      <c r="E195" s="101" t="s">
        <v>938</v>
      </c>
      <c r="F195" s="5" t="s">
        <v>2203</v>
      </c>
    </row>
    <row r="196" spans="1:6" hidden="1">
      <c r="A196" s="101" t="s">
        <v>941</v>
      </c>
      <c r="B196" s="101" t="s">
        <v>940</v>
      </c>
      <c r="C196" s="101" t="s">
        <v>407</v>
      </c>
      <c r="D196" s="101" t="s">
        <v>344</v>
      </c>
      <c r="E196" s="101" t="s">
        <v>940</v>
      </c>
      <c r="F196" s="5" t="s">
        <v>2204</v>
      </c>
    </row>
    <row r="197" spans="1:6" hidden="1">
      <c r="A197" s="101" t="s">
        <v>943</v>
      </c>
      <c r="B197" s="101" t="s">
        <v>942</v>
      </c>
      <c r="C197" s="101" t="s">
        <v>407</v>
      </c>
      <c r="D197" s="101" t="s">
        <v>344</v>
      </c>
      <c r="E197" s="101" t="s">
        <v>942</v>
      </c>
      <c r="F197" s="5" t="s">
        <v>2205</v>
      </c>
    </row>
    <row r="198" spans="1:6" hidden="1">
      <c r="A198" s="101" t="s">
        <v>149</v>
      </c>
      <c r="B198" s="101" t="s">
        <v>935</v>
      </c>
      <c r="C198" s="101" t="s">
        <v>407</v>
      </c>
      <c r="D198" s="101" t="s">
        <v>344</v>
      </c>
      <c r="E198" s="101" t="s">
        <v>935</v>
      </c>
      <c r="F198" s="5" t="s">
        <v>1994</v>
      </c>
    </row>
    <row r="199" spans="1:6" hidden="1">
      <c r="A199" s="101" t="s">
        <v>152</v>
      </c>
      <c r="B199" s="101" t="s">
        <v>944</v>
      </c>
      <c r="C199" s="101" t="s">
        <v>408</v>
      </c>
      <c r="D199" s="101" t="s">
        <v>356</v>
      </c>
      <c r="E199" s="101" t="s">
        <v>944</v>
      </c>
      <c r="F199" s="5" t="s">
        <v>1913</v>
      </c>
    </row>
    <row r="200" spans="1:6" hidden="1">
      <c r="A200" s="101" t="s">
        <v>150</v>
      </c>
      <c r="B200" s="101" t="s">
        <v>945</v>
      </c>
      <c r="C200" s="101" t="s">
        <v>408</v>
      </c>
      <c r="D200" s="101" t="s">
        <v>347</v>
      </c>
      <c r="E200" s="101" t="s">
        <v>945</v>
      </c>
      <c r="F200" s="5" t="s">
        <v>1995</v>
      </c>
    </row>
    <row r="201" spans="1:6" hidden="1">
      <c r="A201" s="101" t="s">
        <v>151</v>
      </c>
      <c r="B201" s="101" t="s">
        <v>946</v>
      </c>
      <c r="C201" s="101" t="s">
        <v>408</v>
      </c>
      <c r="D201" s="101" t="s">
        <v>344</v>
      </c>
      <c r="E201" s="101" t="s">
        <v>946</v>
      </c>
      <c r="F201" s="5" t="s">
        <v>1996</v>
      </c>
    </row>
    <row r="202" spans="1:6" hidden="1">
      <c r="A202" s="101" t="s">
        <v>153</v>
      </c>
      <c r="B202" s="101" t="s">
        <v>947</v>
      </c>
      <c r="C202" s="101" t="s">
        <v>409</v>
      </c>
      <c r="D202" s="101" t="s">
        <v>356</v>
      </c>
      <c r="E202" s="101" t="s">
        <v>947</v>
      </c>
      <c r="F202" s="5" t="s">
        <v>1914</v>
      </c>
    </row>
    <row r="203" spans="1:6" hidden="1">
      <c r="A203" s="101" t="s">
        <v>949</v>
      </c>
      <c r="B203" s="101" t="s">
        <v>948</v>
      </c>
      <c r="C203" s="101" t="s">
        <v>409</v>
      </c>
      <c r="D203" s="101" t="s">
        <v>347</v>
      </c>
      <c r="E203" s="101" t="s">
        <v>948</v>
      </c>
      <c r="F203" s="5" t="s">
        <v>2206</v>
      </c>
    </row>
    <row r="204" spans="1:6" hidden="1">
      <c r="A204" s="101" t="s">
        <v>951</v>
      </c>
      <c r="B204" s="101" t="s">
        <v>950</v>
      </c>
      <c r="C204" s="101" t="s">
        <v>409</v>
      </c>
      <c r="D204" s="101" t="s">
        <v>344</v>
      </c>
      <c r="E204" s="101" t="s">
        <v>950</v>
      </c>
      <c r="F204" s="5" t="s">
        <v>2207</v>
      </c>
    </row>
    <row r="205" spans="1:6" hidden="1">
      <c r="A205" s="101" t="s">
        <v>154</v>
      </c>
      <c r="B205" s="101" t="s">
        <v>952</v>
      </c>
      <c r="C205" s="101" t="s">
        <v>409</v>
      </c>
      <c r="D205" s="101" t="s">
        <v>344</v>
      </c>
      <c r="E205" s="101" t="s">
        <v>952</v>
      </c>
      <c r="F205" s="5" t="s">
        <v>1997</v>
      </c>
    </row>
    <row r="206" spans="1:6" hidden="1">
      <c r="A206" s="101" t="s">
        <v>192</v>
      </c>
      <c r="B206" s="101" t="s">
        <v>955</v>
      </c>
      <c r="C206" s="101" t="s">
        <v>411</v>
      </c>
      <c r="D206" s="101" t="s">
        <v>356</v>
      </c>
      <c r="E206" s="101" t="s">
        <v>955</v>
      </c>
      <c r="F206" s="5" t="s">
        <v>1915</v>
      </c>
    </row>
    <row r="207" spans="1:6" hidden="1">
      <c r="A207" s="101" t="s">
        <v>957</v>
      </c>
      <c r="B207" s="101" t="s">
        <v>956</v>
      </c>
      <c r="C207" s="101" t="s">
        <v>411</v>
      </c>
      <c r="D207" s="101" t="s">
        <v>347</v>
      </c>
      <c r="E207" s="101" t="s">
        <v>956</v>
      </c>
      <c r="F207" s="5" t="s">
        <v>2208</v>
      </c>
    </row>
    <row r="208" spans="1:6" hidden="1">
      <c r="A208" s="101" t="s">
        <v>959</v>
      </c>
      <c r="B208" s="101" t="s">
        <v>958</v>
      </c>
      <c r="C208" s="101" t="s">
        <v>411</v>
      </c>
      <c r="D208" s="101" t="s">
        <v>344</v>
      </c>
      <c r="E208" s="101" t="s">
        <v>958</v>
      </c>
      <c r="F208" s="5" t="s">
        <v>2209</v>
      </c>
    </row>
    <row r="209" spans="1:6" hidden="1">
      <c r="A209" s="101" t="s">
        <v>961</v>
      </c>
      <c r="B209" s="101" t="s">
        <v>960</v>
      </c>
      <c r="C209" s="101" t="s">
        <v>411</v>
      </c>
      <c r="D209" s="101" t="s">
        <v>344</v>
      </c>
      <c r="E209" s="101" t="s">
        <v>960</v>
      </c>
      <c r="F209" s="5" t="s">
        <v>2210</v>
      </c>
    </row>
    <row r="210" spans="1:6" hidden="1">
      <c r="A210" s="101" t="s">
        <v>195</v>
      </c>
      <c r="B210" s="101" t="s">
        <v>962</v>
      </c>
      <c r="C210" s="101" t="s">
        <v>411</v>
      </c>
      <c r="D210" s="101" t="s">
        <v>344</v>
      </c>
      <c r="E210" s="101" t="s">
        <v>962</v>
      </c>
      <c r="F210" s="5" t="s">
        <v>1998</v>
      </c>
    </row>
    <row r="211" spans="1:6" hidden="1">
      <c r="A211" s="101" t="s">
        <v>145</v>
      </c>
      <c r="B211" s="101" t="s">
        <v>963</v>
      </c>
      <c r="C211" s="101" t="s">
        <v>412</v>
      </c>
      <c r="D211" s="101" t="s">
        <v>356</v>
      </c>
      <c r="E211" s="101" t="s">
        <v>963</v>
      </c>
      <c r="F211" s="5" t="s">
        <v>1916</v>
      </c>
    </row>
    <row r="212" spans="1:6" hidden="1">
      <c r="A212" s="101" t="s">
        <v>189</v>
      </c>
      <c r="B212" s="101" t="s">
        <v>964</v>
      </c>
      <c r="C212" s="101" t="s">
        <v>412</v>
      </c>
      <c r="D212" s="101" t="s">
        <v>347</v>
      </c>
      <c r="E212" s="101" t="s">
        <v>964</v>
      </c>
      <c r="F212" s="5" t="s">
        <v>2211</v>
      </c>
    </row>
    <row r="213" spans="1:6" hidden="1">
      <c r="A213" s="101" t="s">
        <v>264</v>
      </c>
      <c r="B213" s="101" t="s">
        <v>965</v>
      </c>
      <c r="C213" s="101" t="s">
        <v>412</v>
      </c>
      <c r="D213" s="101" t="s">
        <v>344</v>
      </c>
      <c r="E213" s="101" t="s">
        <v>965</v>
      </c>
      <c r="F213" s="5" t="s">
        <v>1999</v>
      </c>
    </row>
    <row r="214" spans="1:6" hidden="1">
      <c r="A214" s="101" t="s">
        <v>194</v>
      </c>
      <c r="B214" s="101" t="s">
        <v>966</v>
      </c>
      <c r="C214" s="101" t="s">
        <v>413</v>
      </c>
      <c r="D214" s="101" t="s">
        <v>356</v>
      </c>
      <c r="E214" s="101" t="s">
        <v>966</v>
      </c>
      <c r="F214" s="5" t="s">
        <v>1917</v>
      </c>
    </row>
    <row r="215" spans="1:6" hidden="1">
      <c r="A215" s="101" t="s">
        <v>968</v>
      </c>
      <c r="B215" s="101" t="s">
        <v>967</v>
      </c>
      <c r="C215" s="101" t="s">
        <v>413</v>
      </c>
      <c r="D215" s="101" t="s">
        <v>347</v>
      </c>
      <c r="E215" s="101" t="s">
        <v>967</v>
      </c>
      <c r="F215" s="5" t="s">
        <v>2212</v>
      </c>
    </row>
    <row r="216" spans="1:6" hidden="1">
      <c r="A216" s="101" t="s">
        <v>970</v>
      </c>
      <c r="B216" s="101" t="s">
        <v>969</v>
      </c>
      <c r="C216" s="101" t="s">
        <v>413</v>
      </c>
      <c r="D216" s="101" t="s">
        <v>344</v>
      </c>
      <c r="E216" s="101" t="s">
        <v>969</v>
      </c>
      <c r="F216" s="5" t="s">
        <v>2213</v>
      </c>
    </row>
    <row r="217" spans="1:6" hidden="1">
      <c r="A217" s="101" t="s">
        <v>972</v>
      </c>
      <c r="B217" s="101" t="s">
        <v>971</v>
      </c>
      <c r="C217" s="101" t="s">
        <v>413</v>
      </c>
      <c r="D217" s="101" t="s">
        <v>344</v>
      </c>
      <c r="E217" s="101" t="s">
        <v>971</v>
      </c>
      <c r="F217" s="5" t="s">
        <v>2000</v>
      </c>
    </row>
    <row r="218" spans="1:6" hidden="1">
      <c r="A218" s="99" t="s">
        <v>177</v>
      </c>
      <c r="B218" s="99" t="s">
        <v>977</v>
      </c>
      <c r="C218" s="99" t="s">
        <v>416</v>
      </c>
      <c r="D218" s="99" t="s">
        <v>356</v>
      </c>
      <c r="E218" s="99" t="s">
        <v>977</v>
      </c>
      <c r="F218" s="5" t="s">
        <v>2214</v>
      </c>
    </row>
    <row r="219" spans="1:6" hidden="1">
      <c r="A219" s="99" t="s">
        <v>979</v>
      </c>
      <c r="B219" s="99" t="s">
        <v>978</v>
      </c>
      <c r="C219" s="99" t="s">
        <v>416</v>
      </c>
      <c r="D219" s="99" t="s">
        <v>344</v>
      </c>
      <c r="E219" s="99" t="s">
        <v>978</v>
      </c>
      <c r="F219" s="5" t="s">
        <v>2215</v>
      </c>
    </row>
    <row r="220" spans="1:6" hidden="1">
      <c r="A220" s="99" t="s">
        <v>981</v>
      </c>
      <c r="B220" s="99" t="s">
        <v>980</v>
      </c>
      <c r="C220" s="99" t="s">
        <v>416</v>
      </c>
      <c r="D220" s="99" t="s">
        <v>344</v>
      </c>
      <c r="E220" s="99" t="s">
        <v>980</v>
      </c>
      <c r="F220" s="5" t="s">
        <v>2216</v>
      </c>
    </row>
    <row r="221" spans="1:6" hidden="1">
      <c r="A221" s="99" t="s">
        <v>983</v>
      </c>
      <c r="B221" s="99" t="s">
        <v>982</v>
      </c>
      <c r="C221" s="99" t="s">
        <v>416</v>
      </c>
      <c r="D221" s="99" t="s">
        <v>344</v>
      </c>
      <c r="E221" s="99" t="s">
        <v>982</v>
      </c>
      <c r="F221" s="5" t="s">
        <v>2217</v>
      </c>
    </row>
    <row r="222" spans="1:6" hidden="1">
      <c r="A222" s="99" t="s">
        <v>175</v>
      </c>
      <c r="B222" s="99" t="s">
        <v>984</v>
      </c>
      <c r="C222" s="99" t="s">
        <v>416</v>
      </c>
      <c r="D222" s="99" t="s">
        <v>344</v>
      </c>
      <c r="E222" s="99" t="s">
        <v>984</v>
      </c>
      <c r="F222" s="5" t="s">
        <v>2001</v>
      </c>
    </row>
    <row r="223" spans="1:6" hidden="1">
      <c r="A223" s="99" t="s">
        <v>174</v>
      </c>
      <c r="B223" s="99" t="s">
        <v>985</v>
      </c>
      <c r="C223" s="99" t="s">
        <v>417</v>
      </c>
      <c r="D223" s="99" t="s">
        <v>356</v>
      </c>
      <c r="E223" s="99" t="s">
        <v>985</v>
      </c>
      <c r="F223" s="5" t="s">
        <v>1919</v>
      </c>
    </row>
    <row r="224" spans="1:6" hidden="1">
      <c r="A224" s="99" t="s">
        <v>987</v>
      </c>
      <c r="B224" s="99" t="s">
        <v>986</v>
      </c>
      <c r="C224" s="99" t="s">
        <v>417</v>
      </c>
      <c r="D224" s="99" t="s">
        <v>344</v>
      </c>
      <c r="E224" s="99" t="s">
        <v>986</v>
      </c>
      <c r="F224" s="5" t="s">
        <v>2218</v>
      </c>
    </row>
    <row r="225" spans="1:6" hidden="1">
      <c r="A225" s="99" t="s">
        <v>989</v>
      </c>
      <c r="B225" s="99" t="s">
        <v>988</v>
      </c>
      <c r="C225" s="99" t="s">
        <v>417</v>
      </c>
      <c r="D225" s="99" t="s">
        <v>344</v>
      </c>
      <c r="E225" s="99" t="s">
        <v>988</v>
      </c>
      <c r="F225" s="5" t="s">
        <v>2219</v>
      </c>
    </row>
    <row r="226" spans="1:6" hidden="1">
      <c r="A226" s="99" t="s">
        <v>276</v>
      </c>
      <c r="B226" s="99" t="s">
        <v>990</v>
      </c>
      <c r="C226" s="99" t="s">
        <v>417</v>
      </c>
      <c r="D226" s="99" t="s">
        <v>344</v>
      </c>
      <c r="E226" s="99" t="s">
        <v>990</v>
      </c>
      <c r="F226" s="5" t="s">
        <v>2002</v>
      </c>
    </row>
    <row r="227" spans="1:6" hidden="1">
      <c r="A227" s="99" t="s">
        <v>277</v>
      </c>
      <c r="B227" s="99" t="s">
        <v>991</v>
      </c>
      <c r="C227" s="99" t="s">
        <v>418</v>
      </c>
      <c r="D227" s="99" t="s">
        <v>356</v>
      </c>
      <c r="E227" s="99" t="s">
        <v>991</v>
      </c>
      <c r="F227" s="5" t="s">
        <v>1920</v>
      </c>
    </row>
    <row r="228" spans="1:6" hidden="1">
      <c r="A228" s="99" t="s">
        <v>993</v>
      </c>
      <c r="B228" s="99" t="s">
        <v>992</v>
      </c>
      <c r="C228" s="99" t="s">
        <v>418</v>
      </c>
      <c r="D228" s="99" t="s">
        <v>347</v>
      </c>
      <c r="E228" s="99" t="s">
        <v>992</v>
      </c>
      <c r="F228" s="5" t="s">
        <v>2220</v>
      </c>
    </row>
    <row r="229" spans="1:6" hidden="1">
      <c r="A229" s="99" t="s">
        <v>172</v>
      </c>
      <c r="B229" s="99" t="s">
        <v>994</v>
      </c>
      <c r="C229" s="99" t="s">
        <v>418</v>
      </c>
      <c r="D229" s="99" t="s">
        <v>344</v>
      </c>
      <c r="E229" s="99" t="s">
        <v>994</v>
      </c>
      <c r="F229" s="5" t="s">
        <v>2003</v>
      </c>
    </row>
    <row r="230" spans="1:6" hidden="1">
      <c r="A230" s="99" t="s">
        <v>996</v>
      </c>
      <c r="B230" s="99" t="s">
        <v>995</v>
      </c>
      <c r="C230" s="99" t="s">
        <v>418</v>
      </c>
      <c r="D230" s="99" t="s">
        <v>344</v>
      </c>
      <c r="E230" s="99" t="s">
        <v>995</v>
      </c>
      <c r="F230" s="5" t="s">
        <v>2221</v>
      </c>
    </row>
    <row r="231" spans="1:6" hidden="1">
      <c r="A231" s="99" t="s">
        <v>998</v>
      </c>
      <c r="B231" s="99" t="s">
        <v>997</v>
      </c>
      <c r="C231" s="99" t="s">
        <v>418</v>
      </c>
      <c r="D231" s="99" t="s">
        <v>344</v>
      </c>
      <c r="E231" s="99" t="s">
        <v>997</v>
      </c>
      <c r="F231" s="5" t="s">
        <v>2222</v>
      </c>
    </row>
    <row r="232" spans="1:6" hidden="1">
      <c r="A232" s="99" t="s">
        <v>1000</v>
      </c>
      <c r="B232" s="99" t="s">
        <v>999</v>
      </c>
      <c r="C232" s="99" t="s">
        <v>419</v>
      </c>
      <c r="D232" s="99" t="s">
        <v>420</v>
      </c>
      <c r="E232" s="99" t="s">
        <v>999</v>
      </c>
      <c r="F232" s="5" t="s">
        <v>2223</v>
      </c>
    </row>
    <row r="233" spans="1:6" hidden="1">
      <c r="A233" s="99" t="s">
        <v>1002</v>
      </c>
      <c r="B233" s="99" t="s">
        <v>1001</v>
      </c>
      <c r="C233" s="99" t="s">
        <v>419</v>
      </c>
      <c r="D233" s="99" t="s">
        <v>356</v>
      </c>
      <c r="E233" s="99" t="s">
        <v>1001</v>
      </c>
      <c r="F233" s="5" t="s">
        <v>1921</v>
      </c>
    </row>
    <row r="234" spans="1:6" hidden="1">
      <c r="A234" s="99" t="s">
        <v>1004</v>
      </c>
      <c r="B234" s="99" t="s">
        <v>1003</v>
      </c>
      <c r="C234" s="99" t="s">
        <v>419</v>
      </c>
      <c r="D234" s="99" t="s">
        <v>344</v>
      </c>
      <c r="E234" s="99" t="s">
        <v>1003</v>
      </c>
      <c r="F234" s="5" t="s">
        <v>2224</v>
      </c>
    </row>
    <row r="235" spans="1:6" hidden="1">
      <c r="A235" s="99" t="s">
        <v>172</v>
      </c>
      <c r="B235" s="99" t="s">
        <v>994</v>
      </c>
      <c r="C235" s="99" t="s">
        <v>419</v>
      </c>
      <c r="D235" s="99" t="s">
        <v>344</v>
      </c>
      <c r="E235" s="99" t="s">
        <v>994</v>
      </c>
      <c r="F235" s="5" t="s">
        <v>2003</v>
      </c>
    </row>
    <row r="236" spans="1:6" hidden="1">
      <c r="A236" s="99" t="s">
        <v>183</v>
      </c>
      <c r="B236" s="99" t="s">
        <v>1006</v>
      </c>
      <c r="C236" s="99" t="s">
        <v>422</v>
      </c>
      <c r="D236" s="99" t="s">
        <v>356</v>
      </c>
      <c r="E236" s="99" t="s">
        <v>1006</v>
      </c>
      <c r="F236" s="5" t="s">
        <v>1922</v>
      </c>
    </row>
    <row r="237" spans="1:6" hidden="1">
      <c r="A237" s="99" t="s">
        <v>1008</v>
      </c>
      <c r="B237" s="99" t="s">
        <v>1007</v>
      </c>
      <c r="C237" s="99" t="s">
        <v>422</v>
      </c>
      <c r="D237" s="99" t="s">
        <v>347</v>
      </c>
      <c r="E237" s="99" t="s">
        <v>1007</v>
      </c>
      <c r="F237" s="5" t="s">
        <v>2225</v>
      </c>
    </row>
    <row r="238" spans="1:6" hidden="1">
      <c r="A238" s="99" t="s">
        <v>1010</v>
      </c>
      <c r="B238" s="99" t="s">
        <v>1009</v>
      </c>
      <c r="C238" s="99" t="s">
        <v>422</v>
      </c>
      <c r="D238" s="99" t="s">
        <v>344</v>
      </c>
      <c r="E238" s="99" t="s">
        <v>1009</v>
      </c>
      <c r="F238" s="5" t="s">
        <v>2226</v>
      </c>
    </row>
    <row r="239" spans="1:6" hidden="1">
      <c r="A239" s="99" t="s">
        <v>1012</v>
      </c>
      <c r="B239" s="99" t="s">
        <v>1011</v>
      </c>
      <c r="C239" s="99" t="s">
        <v>422</v>
      </c>
      <c r="D239" s="99" t="s">
        <v>344</v>
      </c>
      <c r="E239" s="99" t="s">
        <v>1011</v>
      </c>
      <c r="F239" s="5" t="s">
        <v>2227</v>
      </c>
    </row>
    <row r="240" spans="1:6" hidden="1">
      <c r="A240" s="99" t="s">
        <v>179</v>
      </c>
      <c r="B240" s="99" t="s">
        <v>1013</v>
      </c>
      <c r="C240" s="99" t="s">
        <v>422</v>
      </c>
      <c r="D240" s="99" t="s">
        <v>344</v>
      </c>
      <c r="E240" s="99" t="s">
        <v>1013</v>
      </c>
      <c r="F240" s="5" t="s">
        <v>2004</v>
      </c>
    </row>
    <row r="241" spans="1:6" hidden="1">
      <c r="A241" s="99" t="s">
        <v>1015</v>
      </c>
      <c r="B241" s="99" t="s">
        <v>1014</v>
      </c>
      <c r="C241" s="99" t="s">
        <v>423</v>
      </c>
      <c r="D241" s="99" t="s">
        <v>356</v>
      </c>
      <c r="E241" s="99" t="s">
        <v>1014</v>
      </c>
      <c r="F241" s="5" t="s">
        <v>1923</v>
      </c>
    </row>
    <row r="242" spans="1:6" hidden="1">
      <c r="A242" s="99" t="s">
        <v>1017</v>
      </c>
      <c r="B242" s="99" t="s">
        <v>1016</v>
      </c>
      <c r="C242" s="99" t="s">
        <v>423</v>
      </c>
      <c r="D242" s="99" t="s">
        <v>347</v>
      </c>
      <c r="E242" s="99" t="s">
        <v>1016</v>
      </c>
      <c r="F242" s="5" t="s">
        <v>2228</v>
      </c>
    </row>
    <row r="243" spans="1:6" hidden="1">
      <c r="A243" s="99" t="s">
        <v>1019</v>
      </c>
      <c r="B243" s="99" t="s">
        <v>1018</v>
      </c>
      <c r="C243" s="99" t="s">
        <v>423</v>
      </c>
      <c r="D243" s="99" t="s">
        <v>344</v>
      </c>
      <c r="E243" s="99" t="s">
        <v>1018</v>
      </c>
      <c r="F243" s="5" t="s">
        <v>2229</v>
      </c>
    </row>
    <row r="244" spans="1:6" hidden="1">
      <c r="A244" s="99" t="s">
        <v>1021</v>
      </c>
      <c r="B244" s="99" t="s">
        <v>1020</v>
      </c>
      <c r="C244" s="99" t="s">
        <v>423</v>
      </c>
      <c r="D244" s="99" t="s">
        <v>344</v>
      </c>
      <c r="E244" s="99" t="s">
        <v>1020</v>
      </c>
      <c r="F244" s="5" t="s">
        <v>2230</v>
      </c>
    </row>
    <row r="245" spans="1:6" hidden="1">
      <c r="A245" s="99" t="s">
        <v>190</v>
      </c>
      <c r="B245" s="99" t="s">
        <v>1022</v>
      </c>
      <c r="C245" s="99" t="s">
        <v>423</v>
      </c>
      <c r="D245" s="99" t="s">
        <v>344</v>
      </c>
      <c r="E245" s="99" t="s">
        <v>1022</v>
      </c>
      <c r="F245" s="5" t="s">
        <v>2005</v>
      </c>
    </row>
    <row r="246" spans="1:6" hidden="1">
      <c r="A246" s="99" t="s">
        <v>1024</v>
      </c>
      <c r="B246" s="99" t="s">
        <v>1023</v>
      </c>
      <c r="C246" s="99" t="s">
        <v>424</v>
      </c>
      <c r="D246" s="99" t="s">
        <v>356</v>
      </c>
      <c r="E246" s="99" t="s">
        <v>1023</v>
      </c>
      <c r="F246" s="5" t="s">
        <v>1924</v>
      </c>
    </row>
    <row r="247" spans="1:6" hidden="1">
      <c r="A247" s="99" t="s">
        <v>1026</v>
      </c>
      <c r="B247" s="99" t="s">
        <v>1025</v>
      </c>
      <c r="C247" s="99" t="s">
        <v>424</v>
      </c>
      <c r="D247" s="99" t="s">
        <v>344</v>
      </c>
      <c r="E247" s="99" t="s">
        <v>1025</v>
      </c>
      <c r="F247" s="5" t="s">
        <v>2231</v>
      </c>
    </row>
    <row r="248" spans="1:6" hidden="1">
      <c r="A248" s="99" t="s">
        <v>182</v>
      </c>
      <c r="B248" s="99" t="s">
        <v>1027</v>
      </c>
      <c r="C248" s="99" t="s">
        <v>424</v>
      </c>
      <c r="D248" s="99" t="s">
        <v>344</v>
      </c>
      <c r="E248" s="99" t="s">
        <v>1027</v>
      </c>
      <c r="F248" s="5" t="s">
        <v>2006</v>
      </c>
    </row>
    <row r="249" spans="1:6" hidden="1">
      <c r="A249" s="99" t="s">
        <v>1029</v>
      </c>
      <c r="B249" s="99" t="s">
        <v>1028</v>
      </c>
      <c r="C249" s="99" t="s">
        <v>425</v>
      </c>
      <c r="D249" s="99" t="s">
        <v>356</v>
      </c>
      <c r="E249" s="99" t="s">
        <v>1028</v>
      </c>
      <c r="F249" s="5" t="s">
        <v>1925</v>
      </c>
    </row>
    <row r="250" spans="1:6" hidden="1">
      <c r="A250" s="99" t="s">
        <v>1031</v>
      </c>
      <c r="B250" s="99" t="s">
        <v>1030</v>
      </c>
      <c r="C250" s="99" t="s">
        <v>425</v>
      </c>
      <c r="D250" s="99" t="s">
        <v>347</v>
      </c>
      <c r="E250" s="99" t="s">
        <v>1030</v>
      </c>
      <c r="F250" s="5" t="s">
        <v>2232</v>
      </c>
    </row>
    <row r="251" spans="1:6" hidden="1">
      <c r="A251" s="99" t="s">
        <v>1033</v>
      </c>
      <c r="B251" s="99" t="s">
        <v>1032</v>
      </c>
      <c r="C251" s="99" t="s">
        <v>425</v>
      </c>
      <c r="D251" s="99" t="s">
        <v>344</v>
      </c>
      <c r="E251" s="99" t="s">
        <v>1032</v>
      </c>
      <c r="F251" s="5" t="s">
        <v>2233</v>
      </c>
    </row>
    <row r="252" spans="1:6" hidden="1">
      <c r="A252" s="99" t="s">
        <v>193</v>
      </c>
      <c r="B252" s="99" t="s">
        <v>1035</v>
      </c>
      <c r="C252" s="99" t="s">
        <v>427</v>
      </c>
      <c r="D252" s="99" t="s">
        <v>356</v>
      </c>
      <c r="E252" s="99" t="s">
        <v>1035</v>
      </c>
      <c r="F252" s="5" t="s">
        <v>1926</v>
      </c>
    </row>
    <row r="253" spans="1:6" hidden="1">
      <c r="A253" s="99" t="s">
        <v>1037</v>
      </c>
      <c r="B253" s="99" t="s">
        <v>1036</v>
      </c>
      <c r="C253" s="99" t="s">
        <v>427</v>
      </c>
      <c r="D253" s="99" t="s">
        <v>347</v>
      </c>
      <c r="E253" s="99" t="s">
        <v>1036</v>
      </c>
      <c r="F253" s="5" t="s">
        <v>2234</v>
      </c>
    </row>
    <row r="254" spans="1:6" hidden="1">
      <c r="A254" s="99" t="s">
        <v>184</v>
      </c>
      <c r="B254" s="99" t="s">
        <v>1038</v>
      </c>
      <c r="C254" s="99" t="s">
        <v>427</v>
      </c>
      <c r="D254" s="99" t="s">
        <v>344</v>
      </c>
      <c r="E254" s="99" t="s">
        <v>1038</v>
      </c>
      <c r="F254" s="5" t="s">
        <v>2008</v>
      </c>
    </row>
    <row r="255" spans="1:6" hidden="1">
      <c r="A255" s="99" t="s">
        <v>1040</v>
      </c>
      <c r="B255" s="99" t="s">
        <v>1039</v>
      </c>
      <c r="C255" s="99" t="s">
        <v>427</v>
      </c>
      <c r="D255" s="99" t="s">
        <v>344</v>
      </c>
      <c r="E255" s="99" t="s">
        <v>1039</v>
      </c>
      <c r="F255" s="5" t="s">
        <v>2235</v>
      </c>
    </row>
    <row r="256" spans="1:6" hidden="1">
      <c r="A256" s="99" t="s">
        <v>1042</v>
      </c>
      <c r="B256" s="99" t="s">
        <v>1041</v>
      </c>
      <c r="C256" s="99" t="s">
        <v>427</v>
      </c>
      <c r="D256" s="99" t="s">
        <v>344</v>
      </c>
      <c r="E256" s="99" t="s">
        <v>1041</v>
      </c>
      <c r="F256" s="5" t="s">
        <v>2236</v>
      </c>
    </row>
    <row r="257" spans="1:6" hidden="1">
      <c r="A257" s="99" t="s">
        <v>1044</v>
      </c>
      <c r="B257" s="99" t="s">
        <v>1043</v>
      </c>
      <c r="C257" s="99" t="s">
        <v>428</v>
      </c>
      <c r="D257" s="99" t="s">
        <v>356</v>
      </c>
      <c r="E257" s="99" t="s">
        <v>1043</v>
      </c>
      <c r="F257" s="5" t="s">
        <v>1927</v>
      </c>
    </row>
    <row r="258" spans="1:6" hidden="1">
      <c r="A258" s="99" t="s">
        <v>191</v>
      </c>
      <c r="B258" s="99" t="s">
        <v>1045</v>
      </c>
      <c r="C258" s="99" t="s">
        <v>428</v>
      </c>
      <c r="D258" s="99" t="s">
        <v>344</v>
      </c>
      <c r="E258" s="99" t="s">
        <v>1045</v>
      </c>
      <c r="F258" s="5" t="s">
        <v>2237</v>
      </c>
    </row>
    <row r="259" spans="1:6" hidden="1">
      <c r="A259" s="99" t="s">
        <v>1047</v>
      </c>
      <c r="B259" s="99" t="s">
        <v>1046</v>
      </c>
      <c r="C259" s="99" t="s">
        <v>428</v>
      </c>
      <c r="D259" s="99" t="s">
        <v>344</v>
      </c>
      <c r="E259" s="99" t="s">
        <v>1046</v>
      </c>
      <c r="F259" s="5" t="s">
        <v>2238</v>
      </c>
    </row>
    <row r="260" spans="1:6" hidden="1">
      <c r="A260" s="99" t="s">
        <v>1049</v>
      </c>
      <c r="B260" s="99" t="s">
        <v>1048</v>
      </c>
      <c r="C260" s="99" t="s">
        <v>428</v>
      </c>
      <c r="D260" s="99" t="s">
        <v>344</v>
      </c>
      <c r="E260" s="99" t="s">
        <v>1048</v>
      </c>
      <c r="F260" s="5" t="s">
        <v>2239</v>
      </c>
    </row>
    <row r="261" spans="1:6" hidden="1">
      <c r="A261" s="99" t="s">
        <v>1051</v>
      </c>
      <c r="B261" s="99" t="s">
        <v>1050</v>
      </c>
      <c r="C261" s="99" t="s">
        <v>428</v>
      </c>
      <c r="D261" s="99" t="s">
        <v>344</v>
      </c>
      <c r="E261" s="99" t="s">
        <v>1050</v>
      </c>
      <c r="F261" s="5" t="s">
        <v>2009</v>
      </c>
    </row>
    <row r="262" spans="1:6" hidden="1">
      <c r="A262" s="99" t="s">
        <v>176</v>
      </c>
      <c r="B262" s="99" t="s">
        <v>1054</v>
      </c>
      <c r="C262" s="99" t="s">
        <v>430</v>
      </c>
      <c r="D262" s="99" t="s">
        <v>356</v>
      </c>
      <c r="E262" s="99" t="s">
        <v>1054</v>
      </c>
      <c r="F262" s="5" t="s">
        <v>1928</v>
      </c>
    </row>
    <row r="263" spans="1:6" hidden="1">
      <c r="A263" s="99" t="s">
        <v>1056</v>
      </c>
      <c r="B263" s="99" t="s">
        <v>1055</v>
      </c>
      <c r="C263" s="99" t="s">
        <v>430</v>
      </c>
      <c r="D263" s="99" t="s">
        <v>347</v>
      </c>
      <c r="E263" s="99" t="s">
        <v>1055</v>
      </c>
      <c r="F263" s="5" t="s">
        <v>2240</v>
      </c>
    </row>
    <row r="264" spans="1:6" hidden="1">
      <c r="A264" s="99" t="s">
        <v>1058</v>
      </c>
      <c r="B264" s="99" t="s">
        <v>1057</v>
      </c>
      <c r="C264" s="99" t="s">
        <v>430</v>
      </c>
      <c r="D264" s="99" t="s">
        <v>344</v>
      </c>
      <c r="E264" s="99" t="s">
        <v>1057</v>
      </c>
      <c r="F264" s="5" t="s">
        <v>2241</v>
      </c>
    </row>
    <row r="265" spans="1:6" hidden="1">
      <c r="A265" s="99" t="s">
        <v>188</v>
      </c>
      <c r="B265" s="99" t="s">
        <v>1059</v>
      </c>
      <c r="C265" s="99" t="s">
        <v>430</v>
      </c>
      <c r="D265" s="99" t="s">
        <v>344</v>
      </c>
      <c r="E265" s="99" t="s">
        <v>1059</v>
      </c>
      <c r="F265" s="5" t="s">
        <v>2010</v>
      </c>
    </row>
    <row r="266" spans="1:6" hidden="1">
      <c r="A266" s="99" t="s">
        <v>178</v>
      </c>
      <c r="B266" s="99" t="s">
        <v>1060</v>
      </c>
      <c r="C266" s="99" t="s">
        <v>431</v>
      </c>
      <c r="D266" s="99" t="s">
        <v>356</v>
      </c>
      <c r="E266" s="99" t="s">
        <v>1060</v>
      </c>
      <c r="F266" s="5" t="s">
        <v>1929</v>
      </c>
    </row>
    <row r="267" spans="1:6" hidden="1">
      <c r="A267" s="99" t="s">
        <v>186</v>
      </c>
      <c r="B267" s="99" t="s">
        <v>1061</v>
      </c>
      <c r="C267" s="99" t="s">
        <v>431</v>
      </c>
      <c r="D267" s="99" t="s">
        <v>344</v>
      </c>
      <c r="E267" s="99" t="s">
        <v>1061</v>
      </c>
      <c r="F267" s="5" t="s">
        <v>2011</v>
      </c>
    </row>
    <row r="268" spans="1:6" hidden="1">
      <c r="A268" s="99" t="s">
        <v>1063</v>
      </c>
      <c r="B268" s="99" t="s">
        <v>1062</v>
      </c>
      <c r="C268" s="99" t="s">
        <v>431</v>
      </c>
      <c r="D268" s="99" t="s">
        <v>344</v>
      </c>
      <c r="E268" s="99" t="s">
        <v>1062</v>
      </c>
      <c r="F268" s="5" t="s">
        <v>2242</v>
      </c>
    </row>
    <row r="269" spans="1:6" hidden="1">
      <c r="A269" s="99" t="s">
        <v>1065</v>
      </c>
      <c r="B269" s="99" t="s">
        <v>1064</v>
      </c>
      <c r="C269" s="99" t="s">
        <v>431</v>
      </c>
      <c r="D269" s="99" t="s">
        <v>344</v>
      </c>
      <c r="E269" s="99" t="s">
        <v>1064</v>
      </c>
      <c r="F269" s="5" t="s">
        <v>2243</v>
      </c>
    </row>
    <row r="270" spans="1:6" hidden="1">
      <c r="A270" s="99" t="s">
        <v>187</v>
      </c>
      <c r="B270" s="99" t="s">
        <v>1066</v>
      </c>
      <c r="C270" s="99" t="s">
        <v>431</v>
      </c>
      <c r="D270" s="99" t="s">
        <v>344</v>
      </c>
      <c r="E270" s="99" t="s">
        <v>1066</v>
      </c>
      <c r="F270" s="5" t="s">
        <v>2012</v>
      </c>
    </row>
    <row r="271" spans="1:6">
      <c r="A271" s="99" t="s">
        <v>181</v>
      </c>
      <c r="B271" s="99" t="s">
        <v>1067</v>
      </c>
      <c r="C271" s="99" t="s">
        <v>432</v>
      </c>
      <c r="D271" s="99" t="s">
        <v>356</v>
      </c>
      <c r="E271" s="99" t="s">
        <v>1067</v>
      </c>
      <c r="F271" s="5" t="s">
        <v>1930</v>
      </c>
    </row>
    <row r="272" spans="1:6">
      <c r="A272" s="99" t="s">
        <v>173</v>
      </c>
      <c r="B272" s="99" t="s">
        <v>1068</v>
      </c>
      <c r="C272" s="99" t="s">
        <v>432</v>
      </c>
      <c r="D272" s="99" t="s">
        <v>347</v>
      </c>
      <c r="E272" s="99" t="s">
        <v>1068</v>
      </c>
      <c r="F272" s="5" t="s">
        <v>2013</v>
      </c>
    </row>
    <row r="273" spans="1:6">
      <c r="A273" s="99" t="s">
        <v>1070</v>
      </c>
      <c r="B273" s="99" t="s">
        <v>1069</v>
      </c>
      <c r="C273" s="99" t="s">
        <v>432</v>
      </c>
      <c r="D273" s="99" t="s">
        <v>344</v>
      </c>
      <c r="E273" s="99" t="s">
        <v>1069</v>
      </c>
      <c r="F273" s="5" t="s">
        <v>2244</v>
      </c>
    </row>
    <row r="274" spans="1:6">
      <c r="A274" s="99" t="s">
        <v>1072</v>
      </c>
      <c r="B274" s="99" t="s">
        <v>1071</v>
      </c>
      <c r="C274" s="99" t="s">
        <v>432</v>
      </c>
      <c r="D274" s="99" t="s">
        <v>344</v>
      </c>
      <c r="E274" s="99" t="s">
        <v>1071</v>
      </c>
      <c r="F274" s="5" t="s">
        <v>2245</v>
      </c>
    </row>
    <row r="275" spans="1:6" hidden="1">
      <c r="A275" s="103" t="s">
        <v>207</v>
      </c>
      <c r="B275" s="103" t="s">
        <v>1077</v>
      </c>
      <c r="C275" s="103" t="s">
        <v>435</v>
      </c>
      <c r="D275" s="103" t="s">
        <v>356</v>
      </c>
      <c r="E275" s="103" t="s">
        <v>1077</v>
      </c>
      <c r="F275" s="5" t="s">
        <v>1931</v>
      </c>
    </row>
    <row r="276" spans="1:6" hidden="1">
      <c r="A276" s="103" t="s">
        <v>1079</v>
      </c>
      <c r="B276" s="103" t="s">
        <v>1078</v>
      </c>
      <c r="C276" s="103" t="s">
        <v>435</v>
      </c>
      <c r="D276" s="103" t="s">
        <v>347</v>
      </c>
      <c r="E276" s="103" t="s">
        <v>1078</v>
      </c>
      <c r="F276" s="5" t="s">
        <v>2246</v>
      </c>
    </row>
    <row r="277" spans="1:6" hidden="1">
      <c r="A277" s="103" t="s">
        <v>1081</v>
      </c>
      <c r="B277" s="103" t="s">
        <v>1080</v>
      </c>
      <c r="C277" s="103" t="s">
        <v>435</v>
      </c>
      <c r="D277" s="103" t="s">
        <v>344</v>
      </c>
      <c r="E277" s="103" t="s">
        <v>1080</v>
      </c>
      <c r="F277" s="5" t="s">
        <v>2247</v>
      </c>
    </row>
    <row r="278" spans="1:6" hidden="1">
      <c r="A278" s="103" t="s">
        <v>1083</v>
      </c>
      <c r="B278" s="103" t="s">
        <v>1082</v>
      </c>
      <c r="C278" s="103" t="s">
        <v>435</v>
      </c>
      <c r="D278" s="103" t="s">
        <v>344</v>
      </c>
      <c r="E278" s="103" t="s">
        <v>1082</v>
      </c>
      <c r="F278" s="5" t="s">
        <v>2248</v>
      </c>
    </row>
    <row r="279" spans="1:6" hidden="1">
      <c r="A279" s="103" t="s">
        <v>1085</v>
      </c>
      <c r="B279" s="103" t="s">
        <v>1084</v>
      </c>
      <c r="C279" s="103" t="s">
        <v>435</v>
      </c>
      <c r="D279" s="103" t="s">
        <v>344</v>
      </c>
      <c r="E279" s="103" t="s">
        <v>1084</v>
      </c>
      <c r="F279" s="5" t="s">
        <v>2249</v>
      </c>
    </row>
    <row r="280" spans="1:6" hidden="1">
      <c r="A280" s="103" t="s">
        <v>1087</v>
      </c>
      <c r="B280" s="103" t="s">
        <v>1086</v>
      </c>
      <c r="C280" s="103" t="s">
        <v>435</v>
      </c>
      <c r="D280" s="103" t="s">
        <v>344</v>
      </c>
      <c r="E280" s="103" t="s">
        <v>1086</v>
      </c>
      <c r="F280" s="5" t="s">
        <v>2250</v>
      </c>
    </row>
    <row r="281" spans="1:6" hidden="1">
      <c r="A281" s="103" t="s">
        <v>1089</v>
      </c>
      <c r="B281" s="103" t="s">
        <v>1088</v>
      </c>
      <c r="C281" s="103" t="s">
        <v>435</v>
      </c>
      <c r="D281" s="103" t="s">
        <v>344</v>
      </c>
      <c r="E281" s="103" t="s">
        <v>1088</v>
      </c>
      <c r="F281" s="5" t="s">
        <v>2251</v>
      </c>
    </row>
    <row r="282" spans="1:6" hidden="1">
      <c r="A282" s="103" t="s">
        <v>325</v>
      </c>
      <c r="B282" s="103" t="s">
        <v>1090</v>
      </c>
      <c r="C282" s="103" t="s">
        <v>435</v>
      </c>
      <c r="D282" s="103" t="s">
        <v>344</v>
      </c>
      <c r="E282" s="103" t="s">
        <v>1090</v>
      </c>
      <c r="F282" s="5" t="s">
        <v>2015</v>
      </c>
    </row>
    <row r="283" spans="1:6" hidden="1">
      <c r="A283" s="103" t="s">
        <v>203</v>
      </c>
      <c r="B283" s="103" t="s">
        <v>1091</v>
      </c>
      <c r="C283" s="103" t="s">
        <v>436</v>
      </c>
      <c r="D283" s="103" t="s">
        <v>356</v>
      </c>
      <c r="E283" s="103" t="s">
        <v>1091</v>
      </c>
      <c r="F283" s="5" t="s">
        <v>1932</v>
      </c>
    </row>
    <row r="284" spans="1:6" hidden="1">
      <c r="A284" s="103" t="s">
        <v>1093</v>
      </c>
      <c r="B284" s="103" t="s">
        <v>1092</v>
      </c>
      <c r="C284" s="103" t="s">
        <v>436</v>
      </c>
      <c r="D284" s="103" t="s">
        <v>347</v>
      </c>
      <c r="E284" s="103" t="s">
        <v>1092</v>
      </c>
      <c r="F284" s="5" t="s">
        <v>2252</v>
      </c>
    </row>
    <row r="285" spans="1:6" hidden="1">
      <c r="A285" s="103" t="s">
        <v>198</v>
      </c>
      <c r="B285" s="103" t="s">
        <v>1094</v>
      </c>
      <c r="C285" s="103" t="s">
        <v>436</v>
      </c>
      <c r="D285" s="103" t="s">
        <v>344</v>
      </c>
      <c r="E285" s="103" t="s">
        <v>1094</v>
      </c>
      <c r="F285" s="5" t="s">
        <v>2016</v>
      </c>
    </row>
    <row r="286" spans="1:6" hidden="1">
      <c r="A286" s="103" t="s">
        <v>1096</v>
      </c>
      <c r="B286" s="103" t="s">
        <v>1095</v>
      </c>
      <c r="C286" s="103" t="s">
        <v>436</v>
      </c>
      <c r="D286" s="103" t="s">
        <v>344</v>
      </c>
      <c r="E286" s="103" t="s">
        <v>1095</v>
      </c>
      <c r="F286" s="5" t="s">
        <v>2253</v>
      </c>
    </row>
    <row r="287" spans="1:6" hidden="1">
      <c r="A287" s="103" t="s">
        <v>1098</v>
      </c>
      <c r="B287" s="103" t="s">
        <v>1097</v>
      </c>
      <c r="C287" s="103" t="s">
        <v>436</v>
      </c>
      <c r="D287" s="103" t="s">
        <v>344</v>
      </c>
      <c r="E287" s="103" t="s">
        <v>1097</v>
      </c>
      <c r="F287" s="5" t="s">
        <v>2254</v>
      </c>
    </row>
    <row r="288" spans="1:6" hidden="1">
      <c r="A288" s="103" t="s">
        <v>1100</v>
      </c>
      <c r="B288" s="103" t="s">
        <v>1099</v>
      </c>
      <c r="C288" s="103" t="s">
        <v>436</v>
      </c>
      <c r="D288" s="103" t="s">
        <v>344</v>
      </c>
      <c r="E288" s="103" t="s">
        <v>1099</v>
      </c>
      <c r="F288" s="5" t="s">
        <v>2255</v>
      </c>
    </row>
    <row r="289" spans="1:6" hidden="1">
      <c r="A289" s="103" t="s">
        <v>1102</v>
      </c>
      <c r="B289" s="103" t="s">
        <v>1101</v>
      </c>
      <c r="C289" s="103" t="s">
        <v>436</v>
      </c>
      <c r="D289" s="103" t="s">
        <v>344</v>
      </c>
      <c r="E289" s="103" t="s">
        <v>1101</v>
      </c>
      <c r="F289" s="5" t="s">
        <v>2256</v>
      </c>
    </row>
    <row r="290" spans="1:6" hidden="1">
      <c r="A290" s="103" t="s">
        <v>221</v>
      </c>
      <c r="B290" s="103" t="s">
        <v>1103</v>
      </c>
      <c r="C290" s="103" t="s">
        <v>437</v>
      </c>
      <c r="D290" s="103" t="s">
        <v>356</v>
      </c>
      <c r="E290" s="103" t="s">
        <v>1103</v>
      </c>
      <c r="F290" s="5" t="s">
        <v>1933</v>
      </c>
    </row>
    <row r="291" spans="1:6" hidden="1">
      <c r="A291" s="103" t="s">
        <v>1105</v>
      </c>
      <c r="B291" s="103" t="s">
        <v>1104</v>
      </c>
      <c r="C291" s="103" t="s">
        <v>437</v>
      </c>
      <c r="D291" s="103" t="s">
        <v>347</v>
      </c>
      <c r="E291" s="103" t="s">
        <v>1104</v>
      </c>
      <c r="F291" s="5" t="s">
        <v>2257</v>
      </c>
    </row>
    <row r="292" spans="1:6" hidden="1">
      <c r="A292" s="103" t="s">
        <v>1107</v>
      </c>
      <c r="B292" s="103" t="s">
        <v>1106</v>
      </c>
      <c r="C292" s="103" t="s">
        <v>437</v>
      </c>
      <c r="D292" s="103" t="s">
        <v>344</v>
      </c>
      <c r="E292" s="103" t="s">
        <v>1106</v>
      </c>
      <c r="F292" s="5" t="s">
        <v>2258</v>
      </c>
    </row>
    <row r="293" spans="1:6" hidden="1">
      <c r="A293" s="103" t="s">
        <v>1109</v>
      </c>
      <c r="B293" s="103" t="s">
        <v>1108</v>
      </c>
      <c r="C293" s="103" t="s">
        <v>437</v>
      </c>
      <c r="D293" s="103" t="s">
        <v>344</v>
      </c>
      <c r="E293" s="103" t="s">
        <v>1108</v>
      </c>
      <c r="F293" s="5" t="s">
        <v>2259</v>
      </c>
    </row>
    <row r="294" spans="1:6" hidden="1">
      <c r="A294" s="103" t="s">
        <v>1111</v>
      </c>
      <c r="B294" s="103" t="s">
        <v>1110</v>
      </c>
      <c r="C294" s="103" t="s">
        <v>437</v>
      </c>
      <c r="D294" s="103" t="s">
        <v>344</v>
      </c>
      <c r="E294" s="103" t="s">
        <v>1110</v>
      </c>
      <c r="F294" s="5" t="s">
        <v>2260</v>
      </c>
    </row>
    <row r="295" spans="1:6" hidden="1">
      <c r="A295" s="103" t="s">
        <v>201</v>
      </c>
      <c r="B295" s="103" t="s">
        <v>1112</v>
      </c>
      <c r="C295" s="103" t="s">
        <v>437</v>
      </c>
      <c r="D295" s="103" t="s">
        <v>344</v>
      </c>
      <c r="E295" s="103" t="s">
        <v>1112</v>
      </c>
      <c r="F295" s="5" t="s">
        <v>2017</v>
      </c>
    </row>
    <row r="296" spans="1:6" hidden="1">
      <c r="A296" s="103" t="s">
        <v>217</v>
      </c>
      <c r="B296" s="103" t="s">
        <v>1115</v>
      </c>
      <c r="C296" s="103" t="s">
        <v>439</v>
      </c>
      <c r="D296" s="103" t="s">
        <v>356</v>
      </c>
      <c r="E296" s="103" t="s">
        <v>1115</v>
      </c>
      <c r="F296" s="5" t="s">
        <v>1934</v>
      </c>
    </row>
    <row r="297" spans="1:6" hidden="1">
      <c r="A297" s="103" t="s">
        <v>1117</v>
      </c>
      <c r="B297" s="103" t="s">
        <v>1116</v>
      </c>
      <c r="C297" s="103" t="s">
        <v>439</v>
      </c>
      <c r="D297" s="103" t="s">
        <v>347</v>
      </c>
      <c r="E297" s="103" t="s">
        <v>1116</v>
      </c>
      <c r="F297" s="5" t="s">
        <v>2261</v>
      </c>
    </row>
    <row r="298" spans="1:6" hidden="1">
      <c r="A298" s="103" t="s">
        <v>1119</v>
      </c>
      <c r="B298" s="103" t="s">
        <v>1118</v>
      </c>
      <c r="C298" s="103" t="s">
        <v>439</v>
      </c>
      <c r="D298" s="103" t="s">
        <v>344</v>
      </c>
      <c r="E298" s="103" t="s">
        <v>1118</v>
      </c>
      <c r="F298" s="5" t="s">
        <v>2262</v>
      </c>
    </row>
    <row r="299" spans="1:6" hidden="1">
      <c r="A299" s="103" t="s">
        <v>1121</v>
      </c>
      <c r="B299" s="103" t="s">
        <v>1120</v>
      </c>
      <c r="C299" s="103" t="s">
        <v>439</v>
      </c>
      <c r="D299" s="103" t="s">
        <v>344</v>
      </c>
      <c r="E299" s="103" t="s">
        <v>1120</v>
      </c>
      <c r="F299" s="5" t="s">
        <v>2018</v>
      </c>
    </row>
    <row r="300" spans="1:6" hidden="1">
      <c r="A300" s="103" t="s">
        <v>1123</v>
      </c>
      <c r="B300" s="103" t="s">
        <v>1122</v>
      </c>
      <c r="C300" s="103" t="s">
        <v>439</v>
      </c>
      <c r="D300" s="103" t="s">
        <v>344</v>
      </c>
      <c r="E300" s="103" t="s">
        <v>1122</v>
      </c>
      <c r="F300" s="5" t="s">
        <v>2263</v>
      </c>
    </row>
    <row r="301" spans="1:6" hidden="1">
      <c r="A301" s="103" t="s">
        <v>1125</v>
      </c>
      <c r="B301" s="103" t="s">
        <v>1124</v>
      </c>
      <c r="C301" s="103" t="s">
        <v>439</v>
      </c>
      <c r="D301" s="103" t="s">
        <v>344</v>
      </c>
      <c r="E301" s="103" t="s">
        <v>1124</v>
      </c>
      <c r="F301" s="5" t="s">
        <v>2264</v>
      </c>
    </row>
    <row r="302" spans="1:6" hidden="1">
      <c r="A302" s="103" t="s">
        <v>1127</v>
      </c>
      <c r="B302" s="103" t="s">
        <v>1126</v>
      </c>
      <c r="C302" s="103" t="s">
        <v>439</v>
      </c>
      <c r="D302" s="103" t="s">
        <v>344</v>
      </c>
      <c r="E302" s="103" t="s">
        <v>1126</v>
      </c>
      <c r="F302" s="5" t="s">
        <v>2265</v>
      </c>
    </row>
    <row r="303" spans="1:6" hidden="1">
      <c r="A303" s="103" t="s">
        <v>1129</v>
      </c>
      <c r="B303" s="103" t="s">
        <v>1128</v>
      </c>
      <c r="C303" s="103" t="s">
        <v>439</v>
      </c>
      <c r="D303" s="103" t="s">
        <v>344</v>
      </c>
      <c r="E303" s="103" t="s">
        <v>1128</v>
      </c>
      <c r="F303" s="5" t="s">
        <v>2019</v>
      </c>
    </row>
    <row r="304" spans="1:6" hidden="1">
      <c r="A304" s="103" t="s">
        <v>160</v>
      </c>
      <c r="B304" s="103" t="s">
        <v>1130</v>
      </c>
      <c r="C304" s="103" t="s">
        <v>440</v>
      </c>
      <c r="D304" s="103" t="s">
        <v>356</v>
      </c>
      <c r="E304" s="103" t="s">
        <v>1130</v>
      </c>
      <c r="F304" s="5" t="s">
        <v>1935</v>
      </c>
    </row>
    <row r="305" spans="1:6" hidden="1">
      <c r="A305" s="103" t="s">
        <v>1132</v>
      </c>
      <c r="B305" s="103" t="s">
        <v>1131</v>
      </c>
      <c r="C305" s="103" t="s">
        <v>440</v>
      </c>
      <c r="D305" s="103" t="s">
        <v>347</v>
      </c>
      <c r="E305" s="103" t="s">
        <v>1131</v>
      </c>
      <c r="F305" s="5" t="s">
        <v>2266</v>
      </c>
    </row>
    <row r="306" spans="1:6" hidden="1">
      <c r="A306" s="103" t="s">
        <v>1134</v>
      </c>
      <c r="B306" s="103" t="s">
        <v>1133</v>
      </c>
      <c r="C306" s="103" t="s">
        <v>440</v>
      </c>
      <c r="D306" s="103" t="s">
        <v>344</v>
      </c>
      <c r="E306" s="103" t="s">
        <v>1133</v>
      </c>
      <c r="F306" s="5" t="s">
        <v>2022</v>
      </c>
    </row>
    <row r="307" spans="1:6" hidden="1">
      <c r="A307" s="103" t="s">
        <v>1136</v>
      </c>
      <c r="B307" s="103" t="s">
        <v>1135</v>
      </c>
      <c r="C307" s="103" t="s">
        <v>440</v>
      </c>
      <c r="D307" s="103" t="s">
        <v>344</v>
      </c>
      <c r="E307" s="103" t="s">
        <v>1135</v>
      </c>
      <c r="F307" s="5" t="s">
        <v>2020</v>
      </c>
    </row>
    <row r="308" spans="1:6" hidden="1">
      <c r="A308" s="103" t="s">
        <v>1138</v>
      </c>
      <c r="B308" s="103" t="s">
        <v>1137</v>
      </c>
      <c r="C308" s="103" t="s">
        <v>440</v>
      </c>
      <c r="D308" s="103" t="s">
        <v>344</v>
      </c>
      <c r="E308" s="103" t="s">
        <v>1137</v>
      </c>
      <c r="F308" s="5" t="s">
        <v>2021</v>
      </c>
    </row>
    <row r="309" spans="1:6" hidden="1">
      <c r="A309" s="103" t="s">
        <v>1140</v>
      </c>
      <c r="B309" s="103" t="s">
        <v>1139</v>
      </c>
      <c r="C309" s="103" t="s">
        <v>440</v>
      </c>
      <c r="D309" s="103" t="s">
        <v>344</v>
      </c>
      <c r="E309" s="103" t="s">
        <v>1139</v>
      </c>
      <c r="F309" s="5" t="s">
        <v>2267</v>
      </c>
    </row>
    <row r="310" spans="1:6" hidden="1">
      <c r="A310" s="103" t="s">
        <v>200</v>
      </c>
      <c r="B310" s="103" t="s">
        <v>1141</v>
      </c>
      <c r="C310" s="103" t="s">
        <v>441</v>
      </c>
      <c r="D310" s="103" t="s">
        <v>356</v>
      </c>
      <c r="E310" s="103" t="s">
        <v>1141</v>
      </c>
      <c r="F310" s="5" t="s">
        <v>1936</v>
      </c>
    </row>
    <row r="311" spans="1:6" hidden="1">
      <c r="A311" s="103" t="s">
        <v>1143</v>
      </c>
      <c r="B311" s="103" t="s">
        <v>1142</v>
      </c>
      <c r="C311" s="103" t="s">
        <v>441</v>
      </c>
      <c r="D311" s="103" t="s">
        <v>347</v>
      </c>
      <c r="E311" s="103" t="s">
        <v>1142</v>
      </c>
      <c r="F311" s="5" t="s">
        <v>2268</v>
      </c>
    </row>
    <row r="312" spans="1:6" hidden="1">
      <c r="A312" s="103" t="s">
        <v>1145</v>
      </c>
      <c r="B312" s="103" t="s">
        <v>1144</v>
      </c>
      <c r="C312" s="103" t="s">
        <v>441</v>
      </c>
      <c r="D312" s="103" t="s">
        <v>344</v>
      </c>
      <c r="E312" s="103" t="s">
        <v>1144</v>
      </c>
      <c r="F312" s="5" t="s">
        <v>2269</v>
      </c>
    </row>
    <row r="313" spans="1:6" hidden="1">
      <c r="A313" s="103" t="s">
        <v>1134</v>
      </c>
      <c r="B313" s="103" t="s">
        <v>1133</v>
      </c>
      <c r="C313" s="103" t="s">
        <v>441</v>
      </c>
      <c r="D313" s="103" t="s">
        <v>344</v>
      </c>
      <c r="E313" s="103" t="s">
        <v>1133</v>
      </c>
      <c r="F313" s="5" t="s">
        <v>2022</v>
      </c>
    </row>
    <row r="314" spans="1:6" hidden="1">
      <c r="A314" s="103" t="s">
        <v>278</v>
      </c>
      <c r="B314" s="103" t="s">
        <v>1148</v>
      </c>
      <c r="C314" s="103" t="s">
        <v>443</v>
      </c>
      <c r="D314" s="103" t="s">
        <v>356</v>
      </c>
      <c r="E314" s="103" t="s">
        <v>1148</v>
      </c>
      <c r="F314" s="5" t="s">
        <v>1937</v>
      </c>
    </row>
    <row r="315" spans="1:6" hidden="1">
      <c r="A315" s="103" t="s">
        <v>1150</v>
      </c>
      <c r="B315" s="103" t="s">
        <v>1149</v>
      </c>
      <c r="C315" s="103" t="s">
        <v>443</v>
      </c>
      <c r="D315" s="103" t="s">
        <v>344</v>
      </c>
      <c r="E315" s="103" t="s">
        <v>1149</v>
      </c>
      <c r="F315" s="5" t="s">
        <v>2270</v>
      </c>
    </row>
    <row r="316" spans="1:6" hidden="1">
      <c r="A316" s="103" t="s">
        <v>1152</v>
      </c>
      <c r="B316" s="103" t="s">
        <v>1151</v>
      </c>
      <c r="C316" s="103" t="s">
        <v>443</v>
      </c>
      <c r="D316" s="103" t="s">
        <v>344</v>
      </c>
      <c r="E316" s="103" t="s">
        <v>1151</v>
      </c>
      <c r="F316" s="5" t="s">
        <v>2271</v>
      </c>
    </row>
    <row r="317" spans="1:6" hidden="1">
      <c r="A317" s="103" t="s">
        <v>1154</v>
      </c>
      <c r="B317" s="103" t="s">
        <v>1153</v>
      </c>
      <c r="C317" s="103" t="s">
        <v>443</v>
      </c>
      <c r="D317" s="103" t="s">
        <v>344</v>
      </c>
      <c r="E317" s="103" t="s">
        <v>1153</v>
      </c>
      <c r="F317" s="5" t="s">
        <v>2272</v>
      </c>
    </row>
    <row r="318" spans="1:6" hidden="1">
      <c r="A318" s="103" t="s">
        <v>1156</v>
      </c>
      <c r="B318" s="103" t="s">
        <v>1155</v>
      </c>
      <c r="C318" s="103" t="s">
        <v>443</v>
      </c>
      <c r="D318" s="103" t="s">
        <v>344</v>
      </c>
      <c r="E318" s="103" t="s">
        <v>1155</v>
      </c>
      <c r="F318" s="5" t="s">
        <v>2273</v>
      </c>
    </row>
    <row r="319" spans="1:6" hidden="1">
      <c r="A319" s="103" t="s">
        <v>1158</v>
      </c>
      <c r="B319" s="103" t="s">
        <v>1157</v>
      </c>
      <c r="C319" s="103" t="s">
        <v>443</v>
      </c>
      <c r="D319" s="103" t="s">
        <v>344</v>
      </c>
      <c r="E319" s="103" t="s">
        <v>1157</v>
      </c>
      <c r="F319" s="5" t="s">
        <v>2274</v>
      </c>
    </row>
    <row r="320" spans="1:6" hidden="1">
      <c r="A320" s="103" t="s">
        <v>205</v>
      </c>
      <c r="B320" s="103" t="s">
        <v>1159</v>
      </c>
      <c r="C320" s="103" t="s">
        <v>443</v>
      </c>
      <c r="D320" s="103" t="s">
        <v>344</v>
      </c>
      <c r="E320" s="103" t="s">
        <v>1159</v>
      </c>
      <c r="F320" s="5" t="s">
        <v>2023</v>
      </c>
    </row>
    <row r="321" spans="1:6" hidden="1">
      <c r="A321" s="103" t="s">
        <v>204</v>
      </c>
      <c r="B321" s="103" t="s">
        <v>1160</v>
      </c>
      <c r="C321" s="103" t="s">
        <v>444</v>
      </c>
      <c r="D321" s="103" t="s">
        <v>356</v>
      </c>
      <c r="E321" s="103" t="s">
        <v>1160</v>
      </c>
      <c r="F321" s="5" t="s">
        <v>1938</v>
      </c>
    </row>
    <row r="322" spans="1:6" hidden="1">
      <c r="A322" s="103" t="s">
        <v>1162</v>
      </c>
      <c r="B322" s="103" t="s">
        <v>1161</v>
      </c>
      <c r="C322" s="103" t="s">
        <v>444</v>
      </c>
      <c r="D322" s="103" t="s">
        <v>347</v>
      </c>
      <c r="E322" s="103" t="s">
        <v>1161</v>
      </c>
      <c r="F322" s="5" t="s">
        <v>2275</v>
      </c>
    </row>
    <row r="323" spans="1:6" hidden="1">
      <c r="A323" s="103" t="s">
        <v>1164</v>
      </c>
      <c r="B323" s="103" t="s">
        <v>1163</v>
      </c>
      <c r="C323" s="103" t="s">
        <v>444</v>
      </c>
      <c r="D323" s="103" t="s">
        <v>344</v>
      </c>
      <c r="E323" s="103" t="s">
        <v>1163</v>
      </c>
      <c r="F323" s="5" t="s">
        <v>2276</v>
      </c>
    </row>
    <row r="324" spans="1:6" hidden="1">
      <c r="A324" s="103" t="s">
        <v>1166</v>
      </c>
      <c r="B324" s="103" t="s">
        <v>1165</v>
      </c>
      <c r="C324" s="103" t="s">
        <v>444</v>
      </c>
      <c r="D324" s="103" t="s">
        <v>344</v>
      </c>
      <c r="E324" s="103" t="s">
        <v>1165</v>
      </c>
      <c r="F324" s="5" t="s">
        <v>2277</v>
      </c>
    </row>
    <row r="325" spans="1:6" hidden="1">
      <c r="A325" s="103" t="s">
        <v>255</v>
      </c>
      <c r="B325" s="103" t="s">
        <v>1167</v>
      </c>
      <c r="C325" s="103" t="s">
        <v>444</v>
      </c>
      <c r="D325" s="103" t="s">
        <v>344</v>
      </c>
      <c r="E325" s="103" t="s">
        <v>1167</v>
      </c>
      <c r="F325" s="5" t="s">
        <v>2024</v>
      </c>
    </row>
    <row r="326" spans="1:6" hidden="1">
      <c r="A326" s="103" t="s">
        <v>211</v>
      </c>
      <c r="B326" s="103" t="s">
        <v>1168</v>
      </c>
      <c r="C326" s="103" t="s">
        <v>445</v>
      </c>
      <c r="D326" s="103" t="s">
        <v>356</v>
      </c>
      <c r="E326" s="103" t="s">
        <v>1168</v>
      </c>
      <c r="F326" s="5" t="s">
        <v>1939</v>
      </c>
    </row>
    <row r="327" spans="1:6" hidden="1">
      <c r="A327" s="103" t="s">
        <v>1170</v>
      </c>
      <c r="B327" s="103" t="s">
        <v>1169</v>
      </c>
      <c r="C327" s="103" t="s">
        <v>445</v>
      </c>
      <c r="D327" s="103" t="s">
        <v>347</v>
      </c>
      <c r="E327" s="103" t="s">
        <v>1169</v>
      </c>
      <c r="F327" s="5" t="s">
        <v>2278</v>
      </c>
    </row>
    <row r="328" spans="1:6" hidden="1">
      <c r="A328" s="103" t="s">
        <v>1172</v>
      </c>
      <c r="B328" s="103" t="s">
        <v>1171</v>
      </c>
      <c r="C328" s="103" t="s">
        <v>445</v>
      </c>
      <c r="D328" s="103" t="s">
        <v>344</v>
      </c>
      <c r="E328" s="103" t="s">
        <v>1171</v>
      </c>
      <c r="F328" s="5" t="s">
        <v>2279</v>
      </c>
    </row>
    <row r="329" spans="1:6" hidden="1">
      <c r="A329" s="103" t="s">
        <v>1174</v>
      </c>
      <c r="B329" s="103" t="s">
        <v>1173</v>
      </c>
      <c r="C329" s="103" t="s">
        <v>445</v>
      </c>
      <c r="D329" s="103" t="s">
        <v>344</v>
      </c>
      <c r="E329" s="103" t="s">
        <v>1173</v>
      </c>
      <c r="F329" s="5" t="s">
        <v>2280</v>
      </c>
    </row>
    <row r="330" spans="1:6" hidden="1">
      <c r="A330" s="103" t="s">
        <v>1176</v>
      </c>
      <c r="B330" s="103" t="s">
        <v>1175</v>
      </c>
      <c r="C330" s="103" t="s">
        <v>445</v>
      </c>
      <c r="D330" s="103" t="s">
        <v>344</v>
      </c>
      <c r="E330" s="103" t="s">
        <v>1175</v>
      </c>
      <c r="F330" s="5" t="s">
        <v>2025</v>
      </c>
    </row>
    <row r="331" spans="1:6" hidden="1">
      <c r="A331" s="103" t="s">
        <v>210</v>
      </c>
      <c r="B331" s="103" t="s">
        <v>1177</v>
      </c>
      <c r="C331" s="103" t="s">
        <v>446</v>
      </c>
      <c r="D331" s="103" t="s">
        <v>356</v>
      </c>
      <c r="E331" s="103" t="s">
        <v>1177</v>
      </c>
      <c r="F331" s="5" t="s">
        <v>1940</v>
      </c>
    </row>
    <row r="332" spans="1:6" hidden="1">
      <c r="A332" s="103" t="s">
        <v>1179</v>
      </c>
      <c r="B332" s="103" t="s">
        <v>1178</v>
      </c>
      <c r="C332" s="103" t="s">
        <v>446</v>
      </c>
      <c r="D332" s="103" t="s">
        <v>347</v>
      </c>
      <c r="E332" s="103" t="s">
        <v>1178</v>
      </c>
      <c r="F332" s="5" t="s">
        <v>2026</v>
      </c>
    </row>
    <row r="333" spans="1:6" hidden="1">
      <c r="A333" s="103" t="s">
        <v>209</v>
      </c>
      <c r="B333" s="103" t="s">
        <v>1180</v>
      </c>
      <c r="C333" s="103" t="s">
        <v>446</v>
      </c>
      <c r="D333" s="103" t="s">
        <v>344</v>
      </c>
      <c r="E333" s="103" t="s">
        <v>1180</v>
      </c>
      <c r="F333" s="5" t="s">
        <v>2027</v>
      </c>
    </row>
    <row r="334" spans="1:6" hidden="1">
      <c r="A334" s="103" t="s">
        <v>1182</v>
      </c>
      <c r="B334" s="103" t="s">
        <v>1181</v>
      </c>
      <c r="C334" s="103" t="s">
        <v>446</v>
      </c>
      <c r="D334" s="103" t="s">
        <v>344</v>
      </c>
      <c r="E334" s="103" t="s">
        <v>1181</v>
      </c>
      <c r="F334" s="5" t="s">
        <v>2281</v>
      </c>
    </row>
    <row r="335" spans="1:6" hidden="1">
      <c r="A335" s="103" t="s">
        <v>1184</v>
      </c>
      <c r="B335" s="103" t="s">
        <v>1183</v>
      </c>
      <c r="C335" s="103" t="s">
        <v>446</v>
      </c>
      <c r="D335" s="103" t="s">
        <v>344</v>
      </c>
      <c r="E335" s="103" t="s">
        <v>1183</v>
      </c>
      <c r="F335" s="5" t="s">
        <v>2282</v>
      </c>
    </row>
    <row r="336" spans="1:6" hidden="1">
      <c r="A336" s="104" t="s">
        <v>235</v>
      </c>
      <c r="B336" s="104" t="s">
        <v>1189</v>
      </c>
      <c r="C336" s="104" t="s">
        <v>449</v>
      </c>
      <c r="D336" s="104" t="s">
        <v>356</v>
      </c>
      <c r="E336" s="104" t="s">
        <v>1189</v>
      </c>
      <c r="F336" s="5" t="s">
        <v>2283</v>
      </c>
    </row>
    <row r="337" spans="1:6" hidden="1">
      <c r="A337" s="104" t="s">
        <v>1191</v>
      </c>
      <c r="B337" s="104" t="s">
        <v>1190</v>
      </c>
      <c r="C337" s="104" t="s">
        <v>449</v>
      </c>
      <c r="D337" s="104" t="s">
        <v>347</v>
      </c>
      <c r="E337" s="104" t="s">
        <v>1190</v>
      </c>
      <c r="F337" s="5" t="s">
        <v>2284</v>
      </c>
    </row>
    <row r="338" spans="1:6" hidden="1">
      <c r="A338" s="104" t="s">
        <v>213</v>
      </c>
      <c r="B338" s="104" t="s">
        <v>1192</v>
      </c>
      <c r="C338" s="104" t="s">
        <v>449</v>
      </c>
      <c r="D338" s="104" t="s">
        <v>347</v>
      </c>
      <c r="E338" s="104" t="s">
        <v>1192</v>
      </c>
      <c r="F338" s="5" t="s">
        <v>2028</v>
      </c>
    </row>
    <row r="339" spans="1:6" hidden="1">
      <c r="A339" s="104" t="s">
        <v>1194</v>
      </c>
      <c r="B339" s="104" t="s">
        <v>1193</v>
      </c>
      <c r="C339" s="104" t="s">
        <v>449</v>
      </c>
      <c r="D339" s="104" t="s">
        <v>344</v>
      </c>
      <c r="E339" s="104" t="s">
        <v>1193</v>
      </c>
      <c r="F339" s="5" t="s">
        <v>2285</v>
      </c>
    </row>
    <row r="340" spans="1:6" hidden="1">
      <c r="A340" s="104" t="s">
        <v>1196</v>
      </c>
      <c r="B340" s="104" t="s">
        <v>1195</v>
      </c>
      <c r="C340" s="104" t="s">
        <v>449</v>
      </c>
      <c r="D340" s="104" t="s">
        <v>344</v>
      </c>
      <c r="E340" s="104" t="s">
        <v>1195</v>
      </c>
      <c r="F340" s="5" t="s">
        <v>2286</v>
      </c>
    </row>
    <row r="341" spans="1:6" hidden="1">
      <c r="A341" s="104" t="s">
        <v>214</v>
      </c>
      <c r="B341" s="104" t="s">
        <v>1197</v>
      </c>
      <c r="C341" s="104" t="s">
        <v>449</v>
      </c>
      <c r="D341" s="104" t="s">
        <v>344</v>
      </c>
      <c r="E341" s="104" t="s">
        <v>1197</v>
      </c>
      <c r="F341" s="5" t="s">
        <v>2029</v>
      </c>
    </row>
    <row r="342" spans="1:6" hidden="1">
      <c r="A342" s="104" t="s">
        <v>215</v>
      </c>
      <c r="B342" s="104" t="s">
        <v>1198</v>
      </c>
      <c r="C342" s="104" t="s">
        <v>450</v>
      </c>
      <c r="D342" s="104" t="s">
        <v>356</v>
      </c>
      <c r="E342" s="104" t="s">
        <v>1198</v>
      </c>
      <c r="F342" s="5" t="s">
        <v>1942</v>
      </c>
    </row>
    <row r="343" spans="1:6" hidden="1">
      <c r="A343" s="104" t="s">
        <v>224</v>
      </c>
      <c r="B343" s="104" t="s">
        <v>1199</v>
      </c>
      <c r="C343" s="104" t="s">
        <v>450</v>
      </c>
      <c r="D343" s="104" t="s">
        <v>347</v>
      </c>
      <c r="E343" s="104" t="s">
        <v>1199</v>
      </c>
      <c r="F343" s="5" t="s">
        <v>2287</v>
      </c>
    </row>
    <row r="344" spans="1:6" hidden="1">
      <c r="A344" s="104" t="s">
        <v>1201</v>
      </c>
      <c r="B344" s="104" t="s">
        <v>1200</v>
      </c>
      <c r="C344" s="104" t="s">
        <v>450</v>
      </c>
      <c r="D344" s="104" t="s">
        <v>344</v>
      </c>
      <c r="E344" s="104" t="s">
        <v>1200</v>
      </c>
      <c r="F344" s="5" t="s">
        <v>2288</v>
      </c>
    </row>
    <row r="345" spans="1:6" hidden="1">
      <c r="A345" s="104" t="s">
        <v>1203</v>
      </c>
      <c r="B345" s="104" t="s">
        <v>1202</v>
      </c>
      <c r="C345" s="104" t="s">
        <v>450</v>
      </c>
      <c r="D345" s="104" t="s">
        <v>344</v>
      </c>
      <c r="E345" s="104" t="s">
        <v>1202</v>
      </c>
      <c r="F345" s="5" t="s">
        <v>2289</v>
      </c>
    </row>
    <row r="346" spans="1:6" hidden="1">
      <c r="A346" s="104" t="s">
        <v>1205</v>
      </c>
      <c r="B346" s="104" t="s">
        <v>1204</v>
      </c>
      <c r="C346" s="104" t="s">
        <v>450</v>
      </c>
      <c r="D346" s="104" t="s">
        <v>344</v>
      </c>
      <c r="E346" s="104" t="s">
        <v>1204</v>
      </c>
      <c r="F346" s="5" t="s">
        <v>2290</v>
      </c>
    </row>
    <row r="347" spans="1:6" hidden="1">
      <c r="A347" s="104" t="s">
        <v>1207</v>
      </c>
      <c r="B347" s="104" t="s">
        <v>1206</v>
      </c>
      <c r="C347" s="104" t="s">
        <v>450</v>
      </c>
      <c r="D347" s="104" t="s">
        <v>344</v>
      </c>
      <c r="E347" s="104" t="s">
        <v>1206</v>
      </c>
      <c r="F347" s="5" t="s">
        <v>2030</v>
      </c>
    </row>
    <row r="348" spans="1:6" hidden="1">
      <c r="A348" s="104" t="s">
        <v>208</v>
      </c>
      <c r="B348" s="104" t="s">
        <v>1208</v>
      </c>
      <c r="C348" s="104" t="s">
        <v>451</v>
      </c>
      <c r="D348" s="104" t="s">
        <v>356</v>
      </c>
      <c r="E348" s="104" t="s">
        <v>1208</v>
      </c>
      <c r="F348" s="5" t="s">
        <v>1943</v>
      </c>
    </row>
    <row r="349" spans="1:6" hidden="1">
      <c r="A349" s="104" t="s">
        <v>1210</v>
      </c>
      <c r="B349" s="104" t="s">
        <v>1209</v>
      </c>
      <c r="C349" s="104" t="s">
        <v>451</v>
      </c>
      <c r="D349" s="104" t="s">
        <v>344</v>
      </c>
      <c r="E349" s="104" t="s">
        <v>1209</v>
      </c>
      <c r="F349" s="5" t="s">
        <v>2291</v>
      </c>
    </row>
    <row r="350" spans="1:6" hidden="1">
      <c r="A350" s="104" t="s">
        <v>1212</v>
      </c>
      <c r="B350" s="104" t="s">
        <v>1211</v>
      </c>
      <c r="C350" s="104" t="s">
        <v>451</v>
      </c>
      <c r="D350" s="104" t="s">
        <v>344</v>
      </c>
      <c r="E350" s="104" t="s">
        <v>1211</v>
      </c>
      <c r="F350" s="5" t="s">
        <v>2292</v>
      </c>
    </row>
    <row r="351" spans="1:6" hidden="1">
      <c r="A351" s="104" t="s">
        <v>260</v>
      </c>
      <c r="B351" s="104" t="s">
        <v>1213</v>
      </c>
      <c r="C351" s="104" t="s">
        <v>451</v>
      </c>
      <c r="D351" s="104" t="s">
        <v>344</v>
      </c>
      <c r="E351" s="104" t="s">
        <v>1213</v>
      </c>
      <c r="F351" s="5" t="s">
        <v>2031</v>
      </c>
    </row>
    <row r="352" spans="1:6" hidden="1">
      <c r="A352" s="104" t="s">
        <v>197</v>
      </c>
      <c r="B352" s="104" t="s">
        <v>1216</v>
      </c>
      <c r="C352" s="104" t="s">
        <v>453</v>
      </c>
      <c r="D352" s="104" t="s">
        <v>356</v>
      </c>
      <c r="E352" s="104" t="s">
        <v>1216</v>
      </c>
      <c r="F352" s="5" t="s">
        <v>1944</v>
      </c>
    </row>
    <row r="353" spans="1:6" hidden="1">
      <c r="A353" s="104" t="s">
        <v>222</v>
      </c>
      <c r="B353" s="104" t="s">
        <v>1217</v>
      </c>
      <c r="C353" s="104" t="s">
        <v>453</v>
      </c>
      <c r="D353" s="104" t="s">
        <v>344</v>
      </c>
      <c r="E353" s="104" t="s">
        <v>1217</v>
      </c>
      <c r="F353" s="5" t="s">
        <v>2032</v>
      </c>
    </row>
    <row r="354" spans="1:6" hidden="1">
      <c r="A354" s="104" t="s">
        <v>1219</v>
      </c>
      <c r="B354" s="104" t="s">
        <v>1218</v>
      </c>
      <c r="C354" s="104" t="s">
        <v>453</v>
      </c>
      <c r="D354" s="104" t="s">
        <v>344</v>
      </c>
      <c r="E354" s="104" t="s">
        <v>1218</v>
      </c>
      <c r="F354" s="5" t="s">
        <v>2293</v>
      </c>
    </row>
    <row r="355" spans="1:6" hidden="1">
      <c r="A355" s="104" t="s">
        <v>1221</v>
      </c>
      <c r="B355" s="104" t="s">
        <v>1220</v>
      </c>
      <c r="C355" s="104" t="s">
        <v>453</v>
      </c>
      <c r="D355" s="104" t="s">
        <v>344</v>
      </c>
      <c r="E355" s="104" t="s">
        <v>1220</v>
      </c>
      <c r="F355" s="5" t="s">
        <v>2294</v>
      </c>
    </row>
    <row r="356" spans="1:6" hidden="1">
      <c r="A356" s="104" t="s">
        <v>223</v>
      </c>
      <c r="B356" s="104" t="s">
        <v>1222</v>
      </c>
      <c r="C356" s="104" t="s">
        <v>453</v>
      </c>
      <c r="D356" s="104" t="s">
        <v>344</v>
      </c>
      <c r="E356" s="104" t="s">
        <v>1222</v>
      </c>
      <c r="F356" s="5" t="s">
        <v>2033</v>
      </c>
    </row>
    <row r="357" spans="1:6" hidden="1">
      <c r="A357" s="104" t="s">
        <v>219</v>
      </c>
      <c r="B357" s="104" t="s">
        <v>1223</v>
      </c>
      <c r="C357" s="104" t="s">
        <v>454</v>
      </c>
      <c r="D357" s="104" t="s">
        <v>356</v>
      </c>
      <c r="E357" s="104" t="s">
        <v>1223</v>
      </c>
      <c r="F357" s="5" t="s">
        <v>1945</v>
      </c>
    </row>
    <row r="358" spans="1:6" hidden="1">
      <c r="A358" s="104" t="s">
        <v>1225</v>
      </c>
      <c r="B358" s="104" t="s">
        <v>1224</v>
      </c>
      <c r="C358" s="104" t="s">
        <v>454</v>
      </c>
      <c r="D358" s="104" t="s">
        <v>347</v>
      </c>
      <c r="E358" s="104" t="s">
        <v>1224</v>
      </c>
      <c r="F358" s="5" t="s">
        <v>2295</v>
      </c>
    </row>
    <row r="359" spans="1:6" hidden="1">
      <c r="A359" s="104" t="s">
        <v>1227</v>
      </c>
      <c r="B359" s="104" t="s">
        <v>1226</v>
      </c>
      <c r="C359" s="104" t="s">
        <v>454</v>
      </c>
      <c r="D359" s="104" t="s">
        <v>344</v>
      </c>
      <c r="E359" s="104" t="s">
        <v>1226</v>
      </c>
      <c r="F359" s="5" t="s">
        <v>2296</v>
      </c>
    </row>
    <row r="360" spans="1:6" hidden="1">
      <c r="A360" s="104" t="s">
        <v>220</v>
      </c>
      <c r="B360" s="104" t="s">
        <v>1228</v>
      </c>
      <c r="C360" s="104" t="s">
        <v>454</v>
      </c>
      <c r="D360" s="104" t="s">
        <v>344</v>
      </c>
      <c r="E360" s="104" t="s">
        <v>1228</v>
      </c>
      <c r="F360" s="5" t="s">
        <v>2034</v>
      </c>
    </row>
    <row r="361" spans="1:6" hidden="1">
      <c r="A361" s="104" t="s">
        <v>227</v>
      </c>
      <c r="B361" s="104" t="s">
        <v>1229</v>
      </c>
      <c r="C361" s="104" t="s">
        <v>455</v>
      </c>
      <c r="D361" s="104" t="s">
        <v>356</v>
      </c>
      <c r="E361" s="104" t="s">
        <v>1229</v>
      </c>
      <c r="F361" s="5" t="s">
        <v>1946</v>
      </c>
    </row>
    <row r="362" spans="1:6" hidden="1">
      <c r="A362" s="104" t="s">
        <v>1231</v>
      </c>
      <c r="B362" s="104" t="s">
        <v>1230</v>
      </c>
      <c r="C362" s="104" t="s">
        <v>455</v>
      </c>
      <c r="D362" s="104" t="s">
        <v>344</v>
      </c>
      <c r="E362" s="104" t="s">
        <v>1230</v>
      </c>
      <c r="F362" s="5" t="s">
        <v>2035</v>
      </c>
    </row>
    <row r="363" spans="1:6" hidden="1">
      <c r="A363" s="104" t="s">
        <v>216</v>
      </c>
      <c r="B363" s="104" t="s">
        <v>1233</v>
      </c>
      <c r="C363" s="104" t="s">
        <v>457</v>
      </c>
      <c r="D363" s="104" t="s">
        <v>356</v>
      </c>
      <c r="E363" s="104" t="s">
        <v>1233</v>
      </c>
      <c r="F363" s="5" t="s">
        <v>1947</v>
      </c>
    </row>
    <row r="364" spans="1:6" hidden="1">
      <c r="A364" s="104" t="s">
        <v>230</v>
      </c>
      <c r="B364" s="104" t="s">
        <v>1234</v>
      </c>
      <c r="C364" s="104" t="s">
        <v>457</v>
      </c>
      <c r="D364" s="104" t="s">
        <v>347</v>
      </c>
      <c r="E364" s="104" t="s">
        <v>1234</v>
      </c>
      <c r="F364" s="5" t="s">
        <v>2036</v>
      </c>
    </row>
    <row r="365" spans="1:6" hidden="1">
      <c r="A365" s="104" t="s">
        <v>232</v>
      </c>
      <c r="B365" s="104" t="s">
        <v>1235</v>
      </c>
      <c r="C365" s="104" t="s">
        <v>457</v>
      </c>
      <c r="D365" s="104" t="s">
        <v>344</v>
      </c>
      <c r="E365" s="104" t="s">
        <v>1235</v>
      </c>
      <c r="F365" s="5" t="s">
        <v>2037</v>
      </c>
    </row>
    <row r="366" spans="1:6" hidden="1">
      <c r="A366" s="104" t="s">
        <v>216</v>
      </c>
      <c r="B366" s="104" t="s">
        <v>1233</v>
      </c>
      <c r="C366" s="104" t="s">
        <v>458</v>
      </c>
      <c r="D366" s="104" t="s">
        <v>356</v>
      </c>
      <c r="E366" s="104" t="s">
        <v>1233</v>
      </c>
      <c r="F366" s="5" t="s">
        <v>1947</v>
      </c>
    </row>
    <row r="367" spans="1:6" hidden="1">
      <c r="A367" s="104" t="s">
        <v>256</v>
      </c>
      <c r="B367" s="104" t="s">
        <v>1236</v>
      </c>
      <c r="C367" s="104" t="s">
        <v>458</v>
      </c>
      <c r="D367" s="104" t="s">
        <v>347</v>
      </c>
      <c r="E367" s="104" t="s">
        <v>1236</v>
      </c>
      <c r="F367" s="5" t="s">
        <v>2038</v>
      </c>
    </row>
    <row r="368" spans="1:6" hidden="1">
      <c r="A368" s="104" t="s">
        <v>1238</v>
      </c>
      <c r="B368" s="104" t="s">
        <v>1237</v>
      </c>
      <c r="C368" s="104" t="s">
        <v>458</v>
      </c>
      <c r="D368" s="104" t="s">
        <v>344</v>
      </c>
      <c r="E368" s="104" t="s">
        <v>1237</v>
      </c>
      <c r="F368" s="5" t="s">
        <v>2297</v>
      </c>
    </row>
    <row r="369" spans="1:6" hidden="1">
      <c r="A369" s="104" t="s">
        <v>1240</v>
      </c>
      <c r="B369" s="104" t="s">
        <v>1239</v>
      </c>
      <c r="C369" s="104" t="s">
        <v>458</v>
      </c>
      <c r="D369" s="104" t="s">
        <v>344</v>
      </c>
      <c r="E369" s="104" t="s">
        <v>1239</v>
      </c>
      <c r="F369" s="5" t="s">
        <v>2039</v>
      </c>
    </row>
    <row r="370" spans="1:6" hidden="1">
      <c r="A370" s="104" t="s">
        <v>225</v>
      </c>
      <c r="B370" s="104" t="s">
        <v>1241</v>
      </c>
      <c r="C370" s="104" t="s">
        <v>459</v>
      </c>
      <c r="D370" s="104" t="s">
        <v>356</v>
      </c>
      <c r="E370" s="104" t="s">
        <v>1241</v>
      </c>
      <c r="F370" s="5" t="s">
        <v>1948</v>
      </c>
    </row>
    <row r="371" spans="1:6" hidden="1">
      <c r="A371" s="104" t="s">
        <v>1243</v>
      </c>
      <c r="B371" s="104" t="s">
        <v>1242</v>
      </c>
      <c r="C371" s="104" t="s">
        <v>459</v>
      </c>
      <c r="D371" s="104" t="s">
        <v>344</v>
      </c>
      <c r="E371" s="104" t="s">
        <v>1242</v>
      </c>
      <c r="F371" s="5" t="s">
        <v>2298</v>
      </c>
    </row>
    <row r="372" spans="1:6" hidden="1">
      <c r="A372" s="104" t="s">
        <v>1245</v>
      </c>
      <c r="B372" s="104" t="s">
        <v>1244</v>
      </c>
      <c r="C372" s="104" t="s">
        <v>459</v>
      </c>
      <c r="D372" s="104" t="s">
        <v>344</v>
      </c>
      <c r="E372" s="104" t="s">
        <v>1244</v>
      </c>
      <c r="F372" s="5" t="s">
        <v>2299</v>
      </c>
    </row>
    <row r="373" spans="1:6" hidden="1">
      <c r="A373" s="104" t="s">
        <v>228</v>
      </c>
      <c r="B373" s="104" t="s">
        <v>1246</v>
      </c>
      <c r="C373" s="104" t="s">
        <v>459</v>
      </c>
      <c r="D373" s="104" t="s">
        <v>344</v>
      </c>
      <c r="E373" s="104" t="s">
        <v>1246</v>
      </c>
      <c r="F373" s="5" t="s">
        <v>2040</v>
      </c>
    </row>
    <row r="374" spans="1:6" hidden="1">
      <c r="A374" s="104" t="s">
        <v>231</v>
      </c>
      <c r="B374" s="104" t="s">
        <v>1247</v>
      </c>
      <c r="C374" s="104" t="s">
        <v>460</v>
      </c>
      <c r="D374" s="104" t="s">
        <v>356</v>
      </c>
      <c r="E374" s="104" t="s">
        <v>1247</v>
      </c>
      <c r="F374" s="5" t="s">
        <v>1949</v>
      </c>
    </row>
    <row r="375" spans="1:6" hidden="1">
      <c r="A375" s="104" t="s">
        <v>1249</v>
      </c>
      <c r="B375" s="104" t="s">
        <v>1248</v>
      </c>
      <c r="C375" s="104" t="s">
        <v>460</v>
      </c>
      <c r="D375" s="104" t="s">
        <v>347</v>
      </c>
      <c r="E375" s="104" t="s">
        <v>1248</v>
      </c>
      <c r="F375" s="5" t="s">
        <v>2300</v>
      </c>
    </row>
    <row r="376" spans="1:6" hidden="1">
      <c r="A376" s="104" t="s">
        <v>1251</v>
      </c>
      <c r="B376" s="104" t="s">
        <v>1250</v>
      </c>
      <c r="C376" s="104" t="s">
        <v>460</v>
      </c>
      <c r="D376" s="104" t="s">
        <v>344</v>
      </c>
      <c r="E376" s="104" t="s">
        <v>1250</v>
      </c>
      <c r="F376" s="5" t="s">
        <v>2301</v>
      </c>
    </row>
    <row r="377" spans="1:6" hidden="1">
      <c r="A377" s="104" t="s">
        <v>1253</v>
      </c>
      <c r="B377" s="104" t="s">
        <v>1252</v>
      </c>
      <c r="C377" s="104" t="s">
        <v>460</v>
      </c>
      <c r="D377" s="104" t="s">
        <v>344</v>
      </c>
      <c r="E377" s="104" t="s">
        <v>1252</v>
      </c>
      <c r="F377" s="5" t="s">
        <v>2041</v>
      </c>
    </row>
    <row r="378" spans="1:6" hidden="1">
      <c r="A378" s="104" t="s">
        <v>1255</v>
      </c>
      <c r="B378" s="104" t="s">
        <v>1254</v>
      </c>
      <c r="C378" s="104" t="s">
        <v>461</v>
      </c>
      <c r="D378" s="104" t="s">
        <v>356</v>
      </c>
      <c r="E378" s="104" t="s">
        <v>1254</v>
      </c>
      <c r="F378" s="5" t="s">
        <v>1950</v>
      </c>
    </row>
    <row r="379" spans="1:6" hidden="1">
      <c r="A379" s="104" t="s">
        <v>1257</v>
      </c>
      <c r="B379" s="104" t="s">
        <v>1256</v>
      </c>
      <c r="C379" s="104" t="s">
        <v>461</v>
      </c>
      <c r="D379" s="104" t="s">
        <v>344</v>
      </c>
      <c r="E379" s="104" t="s">
        <v>1256</v>
      </c>
      <c r="F379" s="5" t="s">
        <v>2302</v>
      </c>
    </row>
    <row r="380" spans="1:6" hidden="1">
      <c r="A380" s="104" t="s">
        <v>234</v>
      </c>
      <c r="B380" s="104" t="s">
        <v>1258</v>
      </c>
      <c r="C380" s="104" t="s">
        <v>461</v>
      </c>
      <c r="D380" s="104" t="s">
        <v>344</v>
      </c>
      <c r="E380" s="104" t="s">
        <v>1258</v>
      </c>
      <c r="F380" s="5" t="s">
        <v>2042</v>
      </c>
    </row>
    <row r="381" spans="1:6" hidden="1">
      <c r="A381" s="105" t="s">
        <v>233</v>
      </c>
      <c r="B381" s="105" t="s">
        <v>1267</v>
      </c>
      <c r="C381" s="105" t="s">
        <v>465</v>
      </c>
      <c r="D381" s="105" t="s">
        <v>356</v>
      </c>
      <c r="E381" s="105" t="s">
        <v>1267</v>
      </c>
      <c r="F381" s="5" t="s">
        <v>1951</v>
      </c>
    </row>
    <row r="382" spans="1:6" hidden="1">
      <c r="A382" s="105" t="s">
        <v>1269</v>
      </c>
      <c r="B382" s="105" t="s">
        <v>1268</v>
      </c>
      <c r="C382" s="105" t="s">
        <v>465</v>
      </c>
      <c r="D382" s="105" t="s">
        <v>347</v>
      </c>
      <c r="E382" s="105" t="s">
        <v>1268</v>
      </c>
      <c r="F382" s="5" t="s">
        <v>2303</v>
      </c>
    </row>
    <row r="383" spans="1:6" hidden="1">
      <c r="A383" s="105" t="s">
        <v>1271</v>
      </c>
      <c r="B383" s="105" t="s">
        <v>1270</v>
      </c>
      <c r="C383" s="105" t="s">
        <v>465</v>
      </c>
      <c r="D383" s="105" t="s">
        <v>347</v>
      </c>
      <c r="E383" s="105" t="s">
        <v>1270</v>
      </c>
      <c r="F383" s="5" t="s">
        <v>2304</v>
      </c>
    </row>
    <row r="384" spans="1:6" hidden="1">
      <c r="A384" s="105" t="s">
        <v>237</v>
      </c>
      <c r="B384" s="105" t="s">
        <v>1272</v>
      </c>
      <c r="C384" s="105" t="s">
        <v>465</v>
      </c>
      <c r="D384" s="105" t="s">
        <v>347</v>
      </c>
      <c r="E384" s="105" t="s">
        <v>1272</v>
      </c>
      <c r="F384" s="5" t="s">
        <v>2043</v>
      </c>
    </row>
    <row r="385" spans="1:6" hidden="1">
      <c r="A385" s="105" t="s">
        <v>1274</v>
      </c>
      <c r="B385" s="105" t="s">
        <v>1273</v>
      </c>
      <c r="C385" s="105" t="s">
        <v>465</v>
      </c>
      <c r="D385" s="105" t="s">
        <v>344</v>
      </c>
      <c r="E385" s="105" t="s">
        <v>1273</v>
      </c>
      <c r="F385" s="5" t="s">
        <v>2305</v>
      </c>
    </row>
    <row r="386" spans="1:6" hidden="1">
      <c r="A386" s="105" t="s">
        <v>1276</v>
      </c>
      <c r="B386" s="105" t="s">
        <v>1275</v>
      </c>
      <c r="C386" s="105" t="s">
        <v>465</v>
      </c>
      <c r="D386" s="105" t="s">
        <v>344</v>
      </c>
      <c r="E386" s="105" t="s">
        <v>1275</v>
      </c>
      <c r="F386" s="5" t="s">
        <v>2306</v>
      </c>
    </row>
    <row r="387" spans="1:6" hidden="1">
      <c r="A387" s="105" t="s">
        <v>238</v>
      </c>
      <c r="B387" s="105" t="s">
        <v>1277</v>
      </c>
      <c r="C387" s="105" t="s">
        <v>465</v>
      </c>
      <c r="D387" s="105" t="s">
        <v>344</v>
      </c>
      <c r="E387" s="105" t="s">
        <v>1277</v>
      </c>
      <c r="F387" s="5" t="s">
        <v>2044</v>
      </c>
    </row>
    <row r="388" spans="1:6" hidden="1">
      <c r="A388" s="105" t="s">
        <v>196</v>
      </c>
      <c r="B388" s="105" t="s">
        <v>1278</v>
      </c>
      <c r="C388" s="105" t="s">
        <v>466</v>
      </c>
      <c r="D388" s="105" t="s">
        <v>356</v>
      </c>
      <c r="E388" s="105" t="s">
        <v>1278</v>
      </c>
      <c r="F388" s="5" t="s">
        <v>1952</v>
      </c>
    </row>
    <row r="389" spans="1:6" hidden="1">
      <c r="A389" s="105" t="s">
        <v>1280</v>
      </c>
      <c r="B389" s="105" t="s">
        <v>1279</v>
      </c>
      <c r="C389" s="105" t="s">
        <v>466</v>
      </c>
      <c r="D389" s="105" t="s">
        <v>347</v>
      </c>
      <c r="E389" s="105" t="s">
        <v>1279</v>
      </c>
      <c r="F389" s="5" t="s">
        <v>2307</v>
      </c>
    </row>
    <row r="390" spans="1:6" hidden="1">
      <c r="A390" s="105" t="s">
        <v>1282</v>
      </c>
      <c r="B390" s="105" t="s">
        <v>1281</v>
      </c>
      <c r="C390" s="105" t="s">
        <v>466</v>
      </c>
      <c r="D390" s="105" t="s">
        <v>347</v>
      </c>
      <c r="E390" s="105" t="s">
        <v>1281</v>
      </c>
      <c r="F390" s="5" t="s">
        <v>2308</v>
      </c>
    </row>
    <row r="391" spans="1:6" hidden="1">
      <c r="A391" s="105" t="s">
        <v>239</v>
      </c>
      <c r="B391" s="105" t="s">
        <v>1283</v>
      </c>
      <c r="C391" s="105" t="s">
        <v>466</v>
      </c>
      <c r="D391" s="105" t="s">
        <v>344</v>
      </c>
      <c r="E391" s="105" t="s">
        <v>1283</v>
      </c>
      <c r="F391" s="5" t="s">
        <v>2045</v>
      </c>
    </row>
    <row r="392" spans="1:6" hidden="1">
      <c r="A392" s="105" t="s">
        <v>236</v>
      </c>
      <c r="B392" s="105" t="s">
        <v>1284</v>
      </c>
      <c r="C392" s="105" t="s">
        <v>467</v>
      </c>
      <c r="D392" s="105" t="s">
        <v>356</v>
      </c>
      <c r="E392" s="105" t="s">
        <v>1284</v>
      </c>
      <c r="F392" s="5" t="s">
        <v>1953</v>
      </c>
    </row>
    <row r="393" spans="1:6" hidden="1">
      <c r="A393" s="105" t="s">
        <v>240</v>
      </c>
      <c r="B393" s="105" t="s">
        <v>1285</v>
      </c>
      <c r="C393" s="105" t="s">
        <v>467</v>
      </c>
      <c r="D393" s="105" t="s">
        <v>344</v>
      </c>
      <c r="E393" s="105" t="s">
        <v>1285</v>
      </c>
      <c r="F393" s="5" t="s">
        <v>2046</v>
      </c>
    </row>
    <row r="394" spans="1:6" hidden="1">
      <c r="A394" s="105" t="s">
        <v>163</v>
      </c>
      <c r="B394" s="105" t="s">
        <v>1286</v>
      </c>
      <c r="C394" s="105" t="s">
        <v>468</v>
      </c>
      <c r="D394" s="105" t="s">
        <v>356</v>
      </c>
      <c r="E394" s="105" t="s">
        <v>1286</v>
      </c>
      <c r="F394" s="5" t="s">
        <v>1954</v>
      </c>
    </row>
    <row r="395" spans="1:6" hidden="1">
      <c r="A395" s="105" t="s">
        <v>1288</v>
      </c>
      <c r="B395" s="105" t="s">
        <v>1287</v>
      </c>
      <c r="C395" s="105" t="s">
        <v>468</v>
      </c>
      <c r="D395" s="105" t="s">
        <v>344</v>
      </c>
      <c r="E395" s="105" t="s">
        <v>1287</v>
      </c>
      <c r="F395" s="5" t="s">
        <v>2309</v>
      </c>
    </row>
    <row r="396" spans="1:6" hidden="1">
      <c r="A396" s="105" t="s">
        <v>1290</v>
      </c>
      <c r="B396" s="105" t="s">
        <v>1289</v>
      </c>
      <c r="C396" s="105" t="s">
        <v>468</v>
      </c>
      <c r="D396" s="105" t="s">
        <v>344</v>
      </c>
      <c r="E396" s="105" t="s">
        <v>1289</v>
      </c>
      <c r="F396" s="5" t="s">
        <v>2310</v>
      </c>
    </row>
    <row r="397" spans="1:6" hidden="1">
      <c r="A397" s="105" t="s">
        <v>243</v>
      </c>
      <c r="B397" s="105" t="s">
        <v>1291</v>
      </c>
      <c r="C397" s="105" t="s">
        <v>468</v>
      </c>
      <c r="D397" s="105" t="s">
        <v>344</v>
      </c>
      <c r="E397" s="105" t="s">
        <v>1291</v>
      </c>
      <c r="F397" s="5" t="s">
        <v>2047</v>
      </c>
    </row>
    <row r="398" spans="1:6" hidden="1">
      <c r="A398" s="105" t="s">
        <v>241</v>
      </c>
      <c r="B398" s="105" t="s">
        <v>1293</v>
      </c>
      <c r="C398" s="105" t="s">
        <v>470</v>
      </c>
      <c r="D398" s="105" t="s">
        <v>356</v>
      </c>
      <c r="E398" s="105" t="s">
        <v>1293</v>
      </c>
      <c r="F398" s="5" t="s">
        <v>1955</v>
      </c>
    </row>
    <row r="399" spans="1:6" hidden="1">
      <c r="A399" s="105" t="s">
        <v>1295</v>
      </c>
      <c r="B399" s="105" t="s">
        <v>1294</v>
      </c>
      <c r="C399" s="105" t="s">
        <v>470</v>
      </c>
      <c r="D399" s="105" t="s">
        <v>344</v>
      </c>
      <c r="E399" s="105" t="s">
        <v>1294</v>
      </c>
      <c r="F399" s="5" t="s">
        <v>2311</v>
      </c>
    </row>
    <row r="400" spans="1:6" hidden="1">
      <c r="A400" s="105" t="s">
        <v>1297</v>
      </c>
      <c r="B400" s="105" t="s">
        <v>1296</v>
      </c>
      <c r="C400" s="105" t="s">
        <v>470</v>
      </c>
      <c r="D400" s="105" t="s">
        <v>344</v>
      </c>
      <c r="E400" s="105" t="s">
        <v>1296</v>
      </c>
      <c r="F400" s="5" t="s">
        <v>2312</v>
      </c>
    </row>
    <row r="401" spans="1:6" hidden="1">
      <c r="A401" s="105" t="s">
        <v>1299</v>
      </c>
      <c r="B401" s="105" t="s">
        <v>1298</v>
      </c>
      <c r="C401" s="105" t="s">
        <v>470</v>
      </c>
      <c r="D401" s="105" t="s">
        <v>344</v>
      </c>
      <c r="E401" s="105" t="s">
        <v>1298</v>
      </c>
      <c r="F401" s="5" t="s">
        <v>2313</v>
      </c>
    </row>
    <row r="402" spans="1:6" hidden="1">
      <c r="A402" s="105" t="s">
        <v>1301</v>
      </c>
      <c r="B402" s="105" t="s">
        <v>1300</v>
      </c>
      <c r="C402" s="105" t="s">
        <v>470</v>
      </c>
      <c r="D402" s="105" t="s">
        <v>344</v>
      </c>
      <c r="E402" s="105" t="s">
        <v>1300</v>
      </c>
      <c r="F402" s="5" t="s">
        <v>2314</v>
      </c>
    </row>
    <row r="403" spans="1:6" hidden="1">
      <c r="A403" s="105" t="s">
        <v>245</v>
      </c>
      <c r="B403" s="105" t="s">
        <v>1302</v>
      </c>
      <c r="C403" s="105" t="s">
        <v>470</v>
      </c>
      <c r="D403" s="105" t="s">
        <v>344</v>
      </c>
      <c r="E403" s="105" t="s">
        <v>1302</v>
      </c>
      <c r="F403" s="5" t="s">
        <v>2048</v>
      </c>
    </row>
    <row r="404" spans="1:6" hidden="1">
      <c r="A404" s="105" t="s">
        <v>1304</v>
      </c>
      <c r="B404" s="105" t="s">
        <v>1303</v>
      </c>
      <c r="C404" s="105" t="s">
        <v>471</v>
      </c>
      <c r="D404" s="105" t="s">
        <v>356</v>
      </c>
      <c r="E404" s="105" t="s">
        <v>1303</v>
      </c>
      <c r="F404" s="5" t="s">
        <v>1956</v>
      </c>
    </row>
    <row r="405" spans="1:6" hidden="1">
      <c r="A405" s="105" t="s">
        <v>1306</v>
      </c>
      <c r="B405" s="105" t="s">
        <v>1305</v>
      </c>
      <c r="C405" s="105" t="s">
        <v>471</v>
      </c>
      <c r="D405" s="105" t="s">
        <v>344</v>
      </c>
      <c r="E405" s="105" t="s">
        <v>1305</v>
      </c>
      <c r="F405" s="5" t="s">
        <v>2315</v>
      </c>
    </row>
    <row r="406" spans="1:6" hidden="1">
      <c r="A406" s="105" t="s">
        <v>1308</v>
      </c>
      <c r="B406" s="105" t="s">
        <v>1307</v>
      </c>
      <c r="C406" s="105" t="s">
        <v>471</v>
      </c>
      <c r="D406" s="105" t="s">
        <v>344</v>
      </c>
      <c r="E406" s="105" t="s">
        <v>1307</v>
      </c>
      <c r="F406" s="5" t="s">
        <v>2316</v>
      </c>
    </row>
    <row r="407" spans="1:6" hidden="1">
      <c r="A407" s="105" t="s">
        <v>245</v>
      </c>
      <c r="B407" s="105" t="s">
        <v>1302</v>
      </c>
      <c r="C407" s="105" t="s">
        <v>471</v>
      </c>
      <c r="D407" s="105" t="s">
        <v>344</v>
      </c>
      <c r="E407" s="105" t="s">
        <v>1302</v>
      </c>
      <c r="F407" s="5" t="s">
        <v>2048</v>
      </c>
    </row>
    <row r="408" spans="1:6" hidden="1">
      <c r="A408" s="105" t="s">
        <v>246</v>
      </c>
      <c r="B408" s="105" t="s">
        <v>1309</v>
      </c>
      <c r="C408" s="105" t="s">
        <v>472</v>
      </c>
      <c r="D408" s="105" t="s">
        <v>356</v>
      </c>
      <c r="E408" s="105" t="s">
        <v>1309</v>
      </c>
      <c r="F408" s="5" t="s">
        <v>1957</v>
      </c>
    </row>
    <row r="409" spans="1:6" hidden="1">
      <c r="A409" s="105" t="s">
        <v>1311</v>
      </c>
      <c r="B409" s="105" t="s">
        <v>1310</v>
      </c>
      <c r="C409" s="105" t="s">
        <v>472</v>
      </c>
      <c r="D409" s="105" t="s">
        <v>344</v>
      </c>
      <c r="E409" s="105" t="s">
        <v>1310</v>
      </c>
      <c r="F409" s="5" t="s">
        <v>2049</v>
      </c>
    </row>
    <row r="410" spans="1:6" hidden="1">
      <c r="A410" s="105" t="s">
        <v>1313</v>
      </c>
      <c r="B410" s="105" t="s">
        <v>1312</v>
      </c>
      <c r="C410" s="105" t="s">
        <v>472</v>
      </c>
      <c r="D410" s="105" t="s">
        <v>344</v>
      </c>
      <c r="E410" s="105" t="s">
        <v>1312</v>
      </c>
      <c r="F410" s="5" t="s">
        <v>2317</v>
      </c>
    </row>
    <row r="411" spans="1:6" hidden="1">
      <c r="A411" s="105" t="s">
        <v>261</v>
      </c>
      <c r="B411" s="105" t="s">
        <v>1314</v>
      </c>
      <c r="C411" s="105" t="s">
        <v>472</v>
      </c>
      <c r="D411" s="105" t="s">
        <v>344</v>
      </c>
      <c r="E411" s="105" t="s">
        <v>1314</v>
      </c>
      <c r="F411" s="5" t="s">
        <v>2050</v>
      </c>
    </row>
    <row r="412" spans="1:6" hidden="1">
      <c r="A412" s="105" t="s">
        <v>244</v>
      </c>
      <c r="B412" s="105" t="s">
        <v>1315</v>
      </c>
      <c r="C412" s="105" t="s">
        <v>473</v>
      </c>
      <c r="D412" s="105" t="s">
        <v>356</v>
      </c>
      <c r="E412" s="105" t="s">
        <v>1315</v>
      </c>
      <c r="F412" s="5" t="s">
        <v>1958</v>
      </c>
    </row>
    <row r="413" spans="1:6" hidden="1">
      <c r="A413" s="105" t="s">
        <v>1317</v>
      </c>
      <c r="B413" s="105" t="s">
        <v>1316</v>
      </c>
      <c r="C413" s="105" t="s">
        <v>473</v>
      </c>
      <c r="D413" s="105" t="s">
        <v>347</v>
      </c>
      <c r="E413" s="105" t="s">
        <v>1316</v>
      </c>
      <c r="F413" s="5" t="s">
        <v>2318</v>
      </c>
    </row>
    <row r="414" spans="1:6" hidden="1">
      <c r="A414" s="105" t="s">
        <v>1319</v>
      </c>
      <c r="B414" s="105" t="s">
        <v>1318</v>
      </c>
      <c r="C414" s="105" t="s">
        <v>473</v>
      </c>
      <c r="D414" s="105" t="s">
        <v>344</v>
      </c>
      <c r="E414" s="105" t="s">
        <v>1318</v>
      </c>
      <c r="F414" s="5" t="s">
        <v>2319</v>
      </c>
    </row>
    <row r="415" spans="1:6" hidden="1">
      <c r="A415" s="105" t="s">
        <v>1321</v>
      </c>
      <c r="B415" s="105" t="s">
        <v>1320</v>
      </c>
      <c r="C415" s="105" t="s">
        <v>473</v>
      </c>
      <c r="D415" s="105" t="s">
        <v>344</v>
      </c>
      <c r="E415" s="105" t="s">
        <v>1320</v>
      </c>
      <c r="F415" s="5" t="s">
        <v>2320</v>
      </c>
    </row>
    <row r="416" spans="1:6" hidden="1">
      <c r="A416" s="105" t="s">
        <v>1323</v>
      </c>
      <c r="B416" s="105" t="s">
        <v>1322</v>
      </c>
      <c r="C416" s="105" t="s">
        <v>473</v>
      </c>
      <c r="D416" s="105" t="s">
        <v>344</v>
      </c>
      <c r="E416" s="105" t="s">
        <v>1322</v>
      </c>
      <c r="F416" s="5" t="s">
        <v>2051</v>
      </c>
    </row>
    <row r="417" spans="1:6" hidden="1">
      <c r="A417" s="105" t="s">
        <v>199</v>
      </c>
      <c r="B417" s="105" t="s">
        <v>1324</v>
      </c>
      <c r="C417" s="105" t="s">
        <v>474</v>
      </c>
      <c r="D417" s="105" t="s">
        <v>356</v>
      </c>
      <c r="E417" s="105" t="s">
        <v>1324</v>
      </c>
      <c r="F417" s="5" t="s">
        <v>1959</v>
      </c>
    </row>
    <row r="418" spans="1:6" hidden="1">
      <c r="A418" s="105" t="s">
        <v>1326</v>
      </c>
      <c r="B418" s="105" t="s">
        <v>1325</v>
      </c>
      <c r="C418" s="105" t="s">
        <v>474</v>
      </c>
      <c r="D418" s="105" t="s">
        <v>344</v>
      </c>
      <c r="E418" s="105" t="s">
        <v>1325</v>
      </c>
      <c r="F418" s="5" t="s">
        <v>2321</v>
      </c>
    </row>
    <row r="419" spans="1:6" hidden="1">
      <c r="A419" s="105" t="s">
        <v>1328</v>
      </c>
      <c r="B419" s="105" t="s">
        <v>1327</v>
      </c>
      <c r="C419" s="105" t="s">
        <v>474</v>
      </c>
      <c r="D419" s="105" t="s">
        <v>344</v>
      </c>
      <c r="E419" s="105" t="s">
        <v>1327</v>
      </c>
      <c r="F419" s="5" t="s">
        <v>2322</v>
      </c>
    </row>
    <row r="420" spans="1:6" hidden="1">
      <c r="A420" s="105" t="s">
        <v>247</v>
      </c>
      <c r="B420" s="105" t="s">
        <v>1329</v>
      </c>
      <c r="C420" s="105" t="s">
        <v>474</v>
      </c>
      <c r="D420" s="105" t="s">
        <v>344</v>
      </c>
      <c r="E420" s="105" t="s">
        <v>1329</v>
      </c>
      <c r="F420" s="5" t="s">
        <v>2052</v>
      </c>
    </row>
    <row r="421" spans="1:6" hidden="1">
      <c r="A421" s="105" t="s">
        <v>242</v>
      </c>
      <c r="B421" s="105" t="s">
        <v>1330</v>
      </c>
      <c r="C421" s="105" t="s">
        <v>475</v>
      </c>
      <c r="D421" s="105" t="s">
        <v>356</v>
      </c>
      <c r="E421" s="105" t="s">
        <v>1330</v>
      </c>
      <c r="F421" s="5" t="s">
        <v>1960</v>
      </c>
    </row>
    <row r="422" spans="1:6" hidden="1">
      <c r="A422" s="105" t="s">
        <v>1332</v>
      </c>
      <c r="B422" s="105" t="s">
        <v>1331</v>
      </c>
      <c r="C422" s="105" t="s">
        <v>475</v>
      </c>
      <c r="D422" s="105" t="s">
        <v>344</v>
      </c>
      <c r="E422" s="105" t="s">
        <v>1331</v>
      </c>
      <c r="F422" s="5" t="s">
        <v>2053</v>
      </c>
    </row>
    <row r="423" spans="1:6" hidden="1">
      <c r="A423" s="105" t="s">
        <v>242</v>
      </c>
      <c r="B423" s="105" t="s">
        <v>1330</v>
      </c>
      <c r="C423" s="105" t="s">
        <v>476</v>
      </c>
      <c r="D423" s="105" t="s">
        <v>356</v>
      </c>
      <c r="E423" s="105" t="s">
        <v>1330</v>
      </c>
      <c r="F423" s="5" t="s">
        <v>1960</v>
      </c>
    </row>
    <row r="424" spans="1:6" hidden="1">
      <c r="A424" s="105" t="s">
        <v>1332</v>
      </c>
      <c r="B424" s="105" t="s">
        <v>1331</v>
      </c>
      <c r="C424" s="105" t="s">
        <v>476</v>
      </c>
      <c r="D424" s="105" t="s">
        <v>344</v>
      </c>
      <c r="E424" s="105" t="s">
        <v>1331</v>
      </c>
      <c r="F424" s="5" t="s">
        <v>2053</v>
      </c>
    </row>
    <row r="425" spans="1:6" hidden="1">
      <c r="A425" s="88" t="s">
        <v>1334</v>
      </c>
      <c r="B425" s="88" t="s">
        <v>1333</v>
      </c>
      <c r="C425" s="88" t="s">
        <v>477</v>
      </c>
      <c r="D425" s="88" t="s">
        <v>478</v>
      </c>
      <c r="E425" s="88" t="s">
        <v>1333</v>
      </c>
      <c r="F425" s="5" t="s">
        <v>2323</v>
      </c>
    </row>
    <row r="426" spans="1:6" hidden="1">
      <c r="A426" s="88" t="s">
        <v>1336</v>
      </c>
      <c r="B426" s="88" t="s">
        <v>1335</v>
      </c>
      <c r="C426" s="88" t="s">
        <v>479</v>
      </c>
      <c r="D426" s="88" t="s">
        <v>344</v>
      </c>
      <c r="E426" s="88" t="s">
        <v>1335</v>
      </c>
      <c r="F426" s="5" t="s">
        <v>2324</v>
      </c>
    </row>
    <row r="427" spans="1:6" hidden="1">
      <c r="A427" s="88" t="s">
        <v>1338</v>
      </c>
      <c r="B427" s="88" t="s">
        <v>1337</v>
      </c>
      <c r="C427" s="88" t="s">
        <v>480</v>
      </c>
      <c r="D427" s="88" t="s">
        <v>481</v>
      </c>
      <c r="E427" s="88" t="s">
        <v>1337</v>
      </c>
      <c r="F427" s="5" t="s">
        <v>2325</v>
      </c>
    </row>
    <row r="428" spans="1:6" hidden="1">
      <c r="A428" s="88" t="s">
        <v>1340</v>
      </c>
      <c r="B428" s="88" t="s">
        <v>1339</v>
      </c>
      <c r="C428" s="88" t="s">
        <v>482</v>
      </c>
      <c r="D428" s="88" t="s">
        <v>348</v>
      </c>
      <c r="E428" s="88" t="s">
        <v>1339</v>
      </c>
      <c r="F428" s="5" t="s">
        <v>2326</v>
      </c>
    </row>
    <row r="429" spans="1:6" hidden="1">
      <c r="A429" s="88" t="s">
        <v>1342</v>
      </c>
      <c r="B429" s="88" t="s">
        <v>1341</v>
      </c>
      <c r="C429" s="88" t="s">
        <v>482</v>
      </c>
      <c r="D429" s="88" t="s">
        <v>344</v>
      </c>
      <c r="E429" s="88" t="s">
        <v>1341</v>
      </c>
      <c r="F429" s="5" t="s">
        <v>2327</v>
      </c>
    </row>
    <row r="430" spans="1:6" hidden="1">
      <c r="A430" s="88" t="s">
        <v>1344</v>
      </c>
      <c r="B430" s="88" t="s">
        <v>1343</v>
      </c>
      <c r="C430" s="88" t="s">
        <v>482</v>
      </c>
      <c r="D430" s="88" t="s">
        <v>344</v>
      </c>
      <c r="E430" s="88" t="s">
        <v>1343</v>
      </c>
      <c r="F430" s="5" t="s">
        <v>2328</v>
      </c>
    </row>
    <row r="431" spans="1:6" hidden="1">
      <c r="A431" s="88" t="s">
        <v>1346</v>
      </c>
      <c r="B431" s="88" t="s">
        <v>1345</v>
      </c>
      <c r="C431" s="88" t="s">
        <v>482</v>
      </c>
      <c r="D431" s="88" t="s">
        <v>344</v>
      </c>
      <c r="E431" s="88" t="s">
        <v>1345</v>
      </c>
      <c r="F431" s="5" t="s">
        <v>2329</v>
      </c>
    </row>
    <row r="432" spans="1:6" hidden="1">
      <c r="A432" s="88" t="s">
        <v>1348</v>
      </c>
      <c r="B432" s="88" t="s">
        <v>1347</v>
      </c>
      <c r="C432" s="88" t="s">
        <v>482</v>
      </c>
      <c r="D432" s="88" t="s">
        <v>344</v>
      </c>
      <c r="E432" s="88" t="s">
        <v>1347</v>
      </c>
      <c r="F432" s="5" t="s">
        <v>2330</v>
      </c>
    </row>
    <row r="433" spans="1:6" hidden="1">
      <c r="A433" s="88" t="s">
        <v>1350</v>
      </c>
      <c r="B433" s="88" t="s">
        <v>1349</v>
      </c>
      <c r="C433" s="88" t="s">
        <v>482</v>
      </c>
      <c r="D433" s="88" t="s">
        <v>344</v>
      </c>
      <c r="E433" s="88" t="s">
        <v>1349</v>
      </c>
      <c r="F433" s="5" t="s">
        <v>2331</v>
      </c>
    </row>
    <row r="434" spans="1:6" hidden="1">
      <c r="A434" s="88" t="s">
        <v>1352</v>
      </c>
      <c r="B434" s="88" t="s">
        <v>1351</v>
      </c>
      <c r="C434" s="88" t="s">
        <v>482</v>
      </c>
      <c r="D434" s="88" t="s">
        <v>344</v>
      </c>
      <c r="E434" s="88" t="s">
        <v>1351</v>
      </c>
      <c r="F434" s="5" t="s">
        <v>2332</v>
      </c>
    </row>
    <row r="435" spans="1:6" hidden="1">
      <c r="A435" s="88" t="s">
        <v>1354</v>
      </c>
      <c r="B435" s="88" t="s">
        <v>1353</v>
      </c>
      <c r="C435" s="88" t="s">
        <v>482</v>
      </c>
      <c r="D435" s="88" t="s">
        <v>344</v>
      </c>
      <c r="E435" s="88" t="s">
        <v>1353</v>
      </c>
      <c r="F435" s="5" t="s">
        <v>2333</v>
      </c>
    </row>
    <row r="436" spans="1:6" hidden="1">
      <c r="A436" s="88" t="s">
        <v>1356</v>
      </c>
      <c r="B436" s="88" t="s">
        <v>1355</v>
      </c>
      <c r="C436" s="88" t="s">
        <v>482</v>
      </c>
      <c r="D436" s="88" t="s">
        <v>344</v>
      </c>
      <c r="E436" s="88" t="s">
        <v>1355</v>
      </c>
      <c r="F436" s="5" t="s">
        <v>2334</v>
      </c>
    </row>
    <row r="437" spans="1:6" hidden="1">
      <c r="A437" s="88" t="s">
        <v>1358</v>
      </c>
      <c r="B437" s="88" t="s">
        <v>1357</v>
      </c>
      <c r="C437" s="88" t="s">
        <v>482</v>
      </c>
      <c r="D437" s="88" t="s">
        <v>344</v>
      </c>
      <c r="E437" s="88" t="s">
        <v>1357</v>
      </c>
      <c r="F437" s="5" t="s">
        <v>2335</v>
      </c>
    </row>
    <row r="438" spans="1:6" hidden="1">
      <c r="A438" s="88" t="s">
        <v>1360</v>
      </c>
      <c r="B438" s="88" t="s">
        <v>1359</v>
      </c>
      <c r="C438" s="88" t="s">
        <v>482</v>
      </c>
      <c r="D438" s="88" t="s">
        <v>344</v>
      </c>
      <c r="E438" s="88" t="s">
        <v>1359</v>
      </c>
      <c r="F438" s="5" t="s">
        <v>2336</v>
      </c>
    </row>
    <row r="439" spans="1:6" hidden="1">
      <c r="A439" s="88" t="s">
        <v>1362</v>
      </c>
      <c r="B439" s="88" t="s">
        <v>1361</v>
      </c>
      <c r="C439" s="88" t="s">
        <v>482</v>
      </c>
      <c r="D439" s="88" t="s">
        <v>344</v>
      </c>
      <c r="E439" s="88" t="s">
        <v>1361</v>
      </c>
      <c r="F439" s="5" t="s">
        <v>2337</v>
      </c>
    </row>
    <row r="440" spans="1:6" hidden="1">
      <c r="A440" s="88" t="s">
        <v>1364</v>
      </c>
      <c r="B440" s="88" t="s">
        <v>1363</v>
      </c>
      <c r="C440" s="88" t="s">
        <v>482</v>
      </c>
      <c r="D440" s="88" t="s">
        <v>344</v>
      </c>
      <c r="E440" s="88" t="s">
        <v>1363</v>
      </c>
      <c r="F440" s="5" t="s">
        <v>2338</v>
      </c>
    </row>
    <row r="441" spans="1:6" hidden="1">
      <c r="A441" s="88" t="s">
        <v>1366</v>
      </c>
      <c r="B441" s="88" t="s">
        <v>1365</v>
      </c>
      <c r="C441" s="88" t="s">
        <v>482</v>
      </c>
      <c r="D441" s="88" t="s">
        <v>344</v>
      </c>
      <c r="E441" s="88" t="s">
        <v>1365</v>
      </c>
      <c r="F441" s="5" t="s">
        <v>2339</v>
      </c>
    </row>
    <row r="442" spans="1:6" hidden="1">
      <c r="A442" s="88" t="s">
        <v>1368</v>
      </c>
      <c r="B442" s="88" t="s">
        <v>1367</v>
      </c>
      <c r="C442" s="88" t="s">
        <v>482</v>
      </c>
      <c r="D442" s="88" t="s">
        <v>344</v>
      </c>
      <c r="E442" s="88" t="s">
        <v>1367</v>
      </c>
      <c r="F442" s="5" t="s">
        <v>2340</v>
      </c>
    </row>
    <row r="443" spans="1:6" hidden="1">
      <c r="A443" s="88" t="s">
        <v>1370</v>
      </c>
      <c r="B443" s="88" t="s">
        <v>1369</v>
      </c>
      <c r="C443" s="88" t="s">
        <v>482</v>
      </c>
      <c r="D443" s="88" t="s">
        <v>344</v>
      </c>
      <c r="E443" s="88" t="s">
        <v>1369</v>
      </c>
      <c r="F443" s="5" t="s">
        <v>2341</v>
      </c>
    </row>
    <row r="444" spans="1:6" hidden="1">
      <c r="A444" s="88" t="s">
        <v>1372</v>
      </c>
      <c r="B444" s="88" t="s">
        <v>1371</v>
      </c>
      <c r="C444" s="88" t="s">
        <v>482</v>
      </c>
      <c r="D444" s="88" t="s">
        <v>344</v>
      </c>
      <c r="E444" s="88" t="s">
        <v>1371</v>
      </c>
      <c r="F444" s="5" t="s">
        <v>2342</v>
      </c>
    </row>
    <row r="445" spans="1:6" hidden="1">
      <c r="A445" s="88" t="s">
        <v>1374</v>
      </c>
      <c r="B445" s="88" t="s">
        <v>1373</v>
      </c>
      <c r="C445" s="88" t="s">
        <v>482</v>
      </c>
      <c r="D445" s="88" t="s">
        <v>344</v>
      </c>
      <c r="E445" s="88" t="s">
        <v>1373</v>
      </c>
      <c r="F445" s="5" t="s">
        <v>2343</v>
      </c>
    </row>
    <row r="446" spans="1:6" hidden="1">
      <c r="A446" s="88" t="s">
        <v>1376</v>
      </c>
      <c r="B446" s="88" t="s">
        <v>1375</v>
      </c>
      <c r="C446" s="88" t="s">
        <v>482</v>
      </c>
      <c r="D446" s="88" t="s">
        <v>344</v>
      </c>
      <c r="E446" s="88" t="s">
        <v>1375</v>
      </c>
      <c r="F446" s="5" t="s">
        <v>2344</v>
      </c>
    </row>
    <row r="447" spans="1:6" hidden="1">
      <c r="A447" s="88" t="s">
        <v>1378</v>
      </c>
      <c r="B447" s="88" t="s">
        <v>1377</v>
      </c>
      <c r="C447" s="88" t="s">
        <v>482</v>
      </c>
      <c r="D447" s="88" t="s">
        <v>344</v>
      </c>
      <c r="E447" s="88" t="s">
        <v>1377</v>
      </c>
      <c r="F447" s="5" t="s">
        <v>2345</v>
      </c>
    </row>
    <row r="448" spans="1:6" hidden="1">
      <c r="A448" s="88" t="s">
        <v>1380</v>
      </c>
      <c r="B448" s="88" t="s">
        <v>1379</v>
      </c>
      <c r="C448" s="88" t="s">
        <v>482</v>
      </c>
      <c r="D448" s="88" t="s">
        <v>344</v>
      </c>
      <c r="E448" s="88" t="s">
        <v>1379</v>
      </c>
      <c r="F448" s="5" t="s">
        <v>2346</v>
      </c>
    </row>
    <row r="449" spans="1:6" hidden="1">
      <c r="A449" s="88" t="s">
        <v>1382</v>
      </c>
      <c r="B449" s="88" t="s">
        <v>1381</v>
      </c>
      <c r="C449" s="88" t="s">
        <v>482</v>
      </c>
      <c r="D449" s="88" t="s">
        <v>344</v>
      </c>
      <c r="E449" s="88" t="s">
        <v>1381</v>
      </c>
      <c r="F449" s="5" t="s">
        <v>2347</v>
      </c>
    </row>
    <row r="450" spans="1:6" hidden="1">
      <c r="A450" s="88" t="s">
        <v>1384</v>
      </c>
      <c r="B450" s="88" t="s">
        <v>1383</v>
      </c>
      <c r="C450" s="88" t="s">
        <v>482</v>
      </c>
      <c r="D450" s="88" t="s">
        <v>344</v>
      </c>
      <c r="E450" s="88" t="s">
        <v>1383</v>
      </c>
      <c r="F450" s="5" t="s">
        <v>2348</v>
      </c>
    </row>
    <row r="451" spans="1:6" hidden="1">
      <c r="A451" s="88" t="s">
        <v>1386</v>
      </c>
      <c r="B451" s="88" t="s">
        <v>1385</v>
      </c>
      <c r="C451" s="88" t="s">
        <v>482</v>
      </c>
      <c r="D451" s="88" t="s">
        <v>344</v>
      </c>
      <c r="E451" s="88" t="s">
        <v>1385</v>
      </c>
      <c r="F451" s="5" t="s">
        <v>2349</v>
      </c>
    </row>
    <row r="452" spans="1:6" hidden="1">
      <c r="A452" s="88" t="s">
        <v>1388</v>
      </c>
      <c r="B452" s="88" t="s">
        <v>1387</v>
      </c>
      <c r="C452" s="88" t="s">
        <v>482</v>
      </c>
      <c r="D452" s="88" t="s">
        <v>344</v>
      </c>
      <c r="E452" s="88" t="s">
        <v>1387</v>
      </c>
      <c r="F452" s="5" t="s">
        <v>2350</v>
      </c>
    </row>
    <row r="453" spans="1:6" hidden="1">
      <c r="A453" s="88" t="s">
        <v>1390</v>
      </c>
      <c r="B453" s="88" t="s">
        <v>1389</v>
      </c>
      <c r="C453" s="88" t="s">
        <v>482</v>
      </c>
      <c r="D453" s="88" t="s">
        <v>344</v>
      </c>
      <c r="E453" s="88" t="s">
        <v>1389</v>
      </c>
      <c r="F453" s="5" t="s">
        <v>2351</v>
      </c>
    </row>
    <row r="454" spans="1:6" hidden="1">
      <c r="A454" s="88" t="s">
        <v>1392</v>
      </c>
      <c r="B454" s="88" t="s">
        <v>1391</v>
      </c>
      <c r="C454" s="88" t="s">
        <v>482</v>
      </c>
      <c r="D454" s="88" t="s">
        <v>344</v>
      </c>
      <c r="E454" s="88" t="s">
        <v>1391</v>
      </c>
      <c r="F454" s="5" t="s">
        <v>2352</v>
      </c>
    </row>
    <row r="455" spans="1:6" hidden="1">
      <c r="A455" s="88" t="s">
        <v>1394</v>
      </c>
      <c r="B455" s="88" t="s">
        <v>1393</v>
      </c>
      <c r="C455" s="88" t="s">
        <v>482</v>
      </c>
      <c r="D455" s="88" t="s">
        <v>344</v>
      </c>
      <c r="E455" s="88" t="s">
        <v>1393</v>
      </c>
      <c r="F455" s="5" t="s">
        <v>2353</v>
      </c>
    </row>
    <row r="456" spans="1:6" hidden="1">
      <c r="A456" s="88" t="s">
        <v>1396</v>
      </c>
      <c r="B456" s="88" t="s">
        <v>1395</v>
      </c>
      <c r="C456" s="88" t="s">
        <v>483</v>
      </c>
      <c r="D456" s="88" t="s">
        <v>348</v>
      </c>
      <c r="E456" s="88" t="s">
        <v>1395</v>
      </c>
      <c r="F456" s="5" t="s">
        <v>2354</v>
      </c>
    </row>
    <row r="457" spans="1:6" hidden="1">
      <c r="A457" s="88" t="s">
        <v>1398</v>
      </c>
      <c r="B457" s="88" t="s">
        <v>1397</v>
      </c>
      <c r="C457" s="88" t="s">
        <v>483</v>
      </c>
      <c r="D457" s="88" t="s">
        <v>344</v>
      </c>
      <c r="E457" s="88" t="s">
        <v>1397</v>
      </c>
      <c r="F457" s="5" t="s">
        <v>2355</v>
      </c>
    </row>
    <row r="458" spans="1:6" hidden="1">
      <c r="A458" s="88" t="s">
        <v>1400</v>
      </c>
      <c r="B458" s="88" t="s">
        <v>1399</v>
      </c>
      <c r="C458" s="88" t="s">
        <v>483</v>
      </c>
      <c r="D458" s="88" t="s">
        <v>344</v>
      </c>
      <c r="E458" s="88" t="s">
        <v>1399</v>
      </c>
      <c r="F458" s="5" t="s">
        <v>2356</v>
      </c>
    </row>
    <row r="459" spans="1:6" hidden="1">
      <c r="A459" s="88" t="s">
        <v>1402</v>
      </c>
      <c r="B459" s="88" t="s">
        <v>1401</v>
      </c>
      <c r="C459" s="88" t="s">
        <v>483</v>
      </c>
      <c r="D459" s="88" t="s">
        <v>344</v>
      </c>
      <c r="E459" s="88" t="s">
        <v>1401</v>
      </c>
      <c r="F459" s="5" t="s">
        <v>2357</v>
      </c>
    </row>
    <row r="460" spans="1:6" hidden="1">
      <c r="A460" s="88" t="s">
        <v>1404</v>
      </c>
      <c r="B460" s="88" t="s">
        <v>1403</v>
      </c>
      <c r="C460" s="88" t="s">
        <v>483</v>
      </c>
      <c r="D460" s="88" t="s">
        <v>344</v>
      </c>
      <c r="E460" s="88" t="s">
        <v>1403</v>
      </c>
      <c r="F460" s="5" t="s">
        <v>2358</v>
      </c>
    </row>
    <row r="461" spans="1:6" hidden="1">
      <c r="A461" s="88" t="s">
        <v>1406</v>
      </c>
      <c r="B461" s="88" t="s">
        <v>1405</v>
      </c>
      <c r="C461" s="88" t="s">
        <v>483</v>
      </c>
      <c r="D461" s="88" t="s">
        <v>344</v>
      </c>
      <c r="E461" s="88" t="s">
        <v>1405</v>
      </c>
      <c r="F461" s="5" t="s">
        <v>2359</v>
      </c>
    </row>
    <row r="462" spans="1:6" hidden="1">
      <c r="A462" s="88" t="s">
        <v>1408</v>
      </c>
      <c r="B462" s="88" t="s">
        <v>1407</v>
      </c>
      <c r="C462" s="88" t="s">
        <v>483</v>
      </c>
      <c r="D462" s="88" t="s">
        <v>344</v>
      </c>
      <c r="E462" s="88" t="s">
        <v>1407</v>
      </c>
      <c r="F462" s="5" t="s">
        <v>2360</v>
      </c>
    </row>
    <row r="463" spans="1:6" hidden="1">
      <c r="A463" s="88" t="s">
        <v>1410</v>
      </c>
      <c r="B463" s="88" t="s">
        <v>1409</v>
      </c>
      <c r="C463" s="88" t="s">
        <v>484</v>
      </c>
      <c r="D463" s="88" t="s">
        <v>481</v>
      </c>
      <c r="E463" s="88" t="s">
        <v>1409</v>
      </c>
      <c r="F463" s="5" t="s">
        <v>2361</v>
      </c>
    </row>
    <row r="464" spans="1:6" hidden="1">
      <c r="A464" s="88" t="s">
        <v>1412</v>
      </c>
      <c r="B464" s="88" t="s">
        <v>1411</v>
      </c>
      <c r="C464" s="88" t="s">
        <v>485</v>
      </c>
      <c r="D464" s="88" t="s">
        <v>348</v>
      </c>
      <c r="E464" s="88" t="s">
        <v>1411</v>
      </c>
      <c r="F464" s="5" t="s">
        <v>2362</v>
      </c>
    </row>
    <row r="465" spans="1:6" hidden="1">
      <c r="A465" s="88" t="s">
        <v>1414</v>
      </c>
      <c r="B465" s="88" t="s">
        <v>1413</v>
      </c>
      <c r="C465" s="88" t="s">
        <v>485</v>
      </c>
      <c r="D465" s="88" t="s">
        <v>347</v>
      </c>
      <c r="E465" s="88" t="s">
        <v>1413</v>
      </c>
      <c r="F465" s="5" t="s">
        <v>2363</v>
      </c>
    </row>
    <row r="466" spans="1:6" hidden="1">
      <c r="A466" s="88" t="s">
        <v>1416</v>
      </c>
      <c r="B466" s="88" t="s">
        <v>1415</v>
      </c>
      <c r="C466" s="88" t="s">
        <v>485</v>
      </c>
      <c r="D466" s="88" t="s">
        <v>347</v>
      </c>
      <c r="E466" s="88" t="s">
        <v>1415</v>
      </c>
      <c r="F466" s="5" t="s">
        <v>2364</v>
      </c>
    </row>
    <row r="467" spans="1:6" hidden="1">
      <c r="A467" s="88" t="s">
        <v>1418</v>
      </c>
      <c r="B467" s="88" t="s">
        <v>1417</v>
      </c>
      <c r="C467" s="88" t="s">
        <v>485</v>
      </c>
      <c r="D467" s="88" t="s">
        <v>344</v>
      </c>
      <c r="E467" s="88" t="s">
        <v>1417</v>
      </c>
      <c r="F467" s="5" t="s">
        <v>2365</v>
      </c>
    </row>
    <row r="468" spans="1:6" hidden="1">
      <c r="A468" s="88" t="s">
        <v>1420</v>
      </c>
      <c r="B468" s="88" t="s">
        <v>1419</v>
      </c>
      <c r="C468" s="88" t="s">
        <v>485</v>
      </c>
      <c r="D468" s="88" t="s">
        <v>344</v>
      </c>
      <c r="E468" s="88" t="s">
        <v>1419</v>
      </c>
      <c r="F468" s="5" t="s">
        <v>2366</v>
      </c>
    </row>
    <row r="469" spans="1:6" hidden="1">
      <c r="A469" s="88" t="s">
        <v>1422</v>
      </c>
      <c r="B469" s="88" t="s">
        <v>1421</v>
      </c>
      <c r="C469" s="88" t="s">
        <v>485</v>
      </c>
      <c r="D469" s="88" t="s">
        <v>344</v>
      </c>
      <c r="E469" s="88" t="s">
        <v>1421</v>
      </c>
      <c r="F469" s="5" t="s">
        <v>2367</v>
      </c>
    </row>
    <row r="470" spans="1:6" hidden="1">
      <c r="A470" s="88" t="s">
        <v>1424</v>
      </c>
      <c r="B470" s="88" t="s">
        <v>1423</v>
      </c>
      <c r="C470" s="88" t="s">
        <v>485</v>
      </c>
      <c r="D470" s="88" t="s">
        <v>344</v>
      </c>
      <c r="E470" s="88" t="s">
        <v>1423</v>
      </c>
      <c r="F470" s="5" t="s">
        <v>2368</v>
      </c>
    </row>
    <row r="471" spans="1:6" hidden="1">
      <c r="A471" s="88" t="s">
        <v>1412</v>
      </c>
      <c r="B471" s="88" t="s">
        <v>1411</v>
      </c>
      <c r="C471" s="88" t="s">
        <v>486</v>
      </c>
      <c r="D471" s="88" t="s">
        <v>348</v>
      </c>
      <c r="E471" s="88" t="s">
        <v>1411</v>
      </c>
      <c r="F471" s="5" t="s">
        <v>2362</v>
      </c>
    </row>
    <row r="472" spans="1:6" hidden="1">
      <c r="A472" s="88" t="s">
        <v>1426</v>
      </c>
      <c r="B472" s="88" t="s">
        <v>1425</v>
      </c>
      <c r="C472" s="88" t="s">
        <v>486</v>
      </c>
      <c r="D472" s="88" t="s">
        <v>344</v>
      </c>
      <c r="E472" s="88" t="s">
        <v>1425</v>
      </c>
      <c r="F472" s="5" t="s">
        <v>2369</v>
      </c>
    </row>
    <row r="473" spans="1:6" hidden="1">
      <c r="A473" s="88" t="s">
        <v>1428</v>
      </c>
      <c r="B473" s="88" t="s">
        <v>1427</v>
      </c>
      <c r="C473" s="88" t="s">
        <v>487</v>
      </c>
      <c r="D473" s="88" t="s">
        <v>348</v>
      </c>
      <c r="E473" s="88" t="s">
        <v>1427</v>
      </c>
      <c r="F473" s="5" t="s">
        <v>2370</v>
      </c>
    </row>
    <row r="474" spans="1:6" hidden="1">
      <c r="A474" s="88" t="s">
        <v>1430</v>
      </c>
      <c r="B474" s="88" t="s">
        <v>1429</v>
      </c>
      <c r="C474" s="88" t="s">
        <v>487</v>
      </c>
      <c r="D474" s="88" t="s">
        <v>420</v>
      </c>
      <c r="E474" s="88" t="s">
        <v>1429</v>
      </c>
      <c r="F474" s="5" t="s">
        <v>2371</v>
      </c>
    </row>
    <row r="475" spans="1:6" hidden="1">
      <c r="A475" s="88" t="s">
        <v>1432</v>
      </c>
      <c r="B475" s="88" t="s">
        <v>1431</v>
      </c>
      <c r="C475" s="88" t="s">
        <v>487</v>
      </c>
      <c r="D475" s="88" t="s">
        <v>344</v>
      </c>
      <c r="E475" s="88" t="s">
        <v>1431</v>
      </c>
      <c r="F475" s="5" t="s">
        <v>2372</v>
      </c>
    </row>
    <row r="476" spans="1:6" hidden="1">
      <c r="A476" s="88" t="s">
        <v>1434</v>
      </c>
      <c r="B476" s="88" t="s">
        <v>1433</v>
      </c>
      <c r="C476" s="88" t="s">
        <v>487</v>
      </c>
      <c r="D476" s="88" t="s">
        <v>344</v>
      </c>
      <c r="E476" s="88" t="s">
        <v>1433</v>
      </c>
      <c r="F476" s="5" t="s">
        <v>2373</v>
      </c>
    </row>
    <row r="477" spans="1:6" hidden="1">
      <c r="A477" s="88" t="s">
        <v>1436</v>
      </c>
      <c r="B477" s="88" t="s">
        <v>1435</v>
      </c>
      <c r="C477" s="88" t="s">
        <v>487</v>
      </c>
      <c r="D477" s="88" t="s">
        <v>344</v>
      </c>
      <c r="E477" s="88" t="s">
        <v>1435</v>
      </c>
      <c r="F477" s="5" t="s">
        <v>2374</v>
      </c>
    </row>
    <row r="478" spans="1:6" hidden="1">
      <c r="A478" s="88" t="s">
        <v>1438</v>
      </c>
      <c r="B478" s="88" t="s">
        <v>1437</v>
      </c>
      <c r="C478" s="88" t="s">
        <v>487</v>
      </c>
      <c r="D478" s="88" t="s">
        <v>344</v>
      </c>
      <c r="E478" s="88" t="s">
        <v>1437</v>
      </c>
      <c r="F478" s="5" t="s">
        <v>2375</v>
      </c>
    </row>
    <row r="479" spans="1:6" hidden="1">
      <c r="A479" s="88" t="s">
        <v>134</v>
      </c>
      <c r="B479" s="88" t="s">
        <v>1439</v>
      </c>
      <c r="C479" s="88" t="s">
        <v>488</v>
      </c>
      <c r="D479" s="88" t="s">
        <v>348</v>
      </c>
      <c r="E479" s="88" t="s">
        <v>1439</v>
      </c>
      <c r="F479" s="5" t="s">
        <v>2376</v>
      </c>
    </row>
    <row r="480" spans="1:6" hidden="1">
      <c r="A480" s="88" t="s">
        <v>1441</v>
      </c>
      <c r="B480" s="88" t="s">
        <v>1440</v>
      </c>
      <c r="C480" s="88" t="s">
        <v>488</v>
      </c>
      <c r="D480" s="88" t="s">
        <v>344</v>
      </c>
      <c r="E480" s="88" t="s">
        <v>1440</v>
      </c>
      <c r="F480" s="5" t="s">
        <v>2377</v>
      </c>
    </row>
    <row r="481" spans="1:6" hidden="1">
      <c r="A481" s="88" t="s">
        <v>1443</v>
      </c>
      <c r="B481" s="88" t="s">
        <v>1442</v>
      </c>
      <c r="C481" s="88" t="s">
        <v>488</v>
      </c>
      <c r="D481" s="88" t="s">
        <v>344</v>
      </c>
      <c r="E481" s="88" t="s">
        <v>1442</v>
      </c>
      <c r="F481" s="5" t="s">
        <v>2378</v>
      </c>
    </row>
    <row r="482" spans="1:6" hidden="1">
      <c r="A482" s="88" t="s">
        <v>1445</v>
      </c>
      <c r="B482" s="88" t="s">
        <v>1444</v>
      </c>
      <c r="C482" s="88" t="s">
        <v>488</v>
      </c>
      <c r="D482" s="88" t="s">
        <v>344</v>
      </c>
      <c r="E482" s="88" t="s">
        <v>1444</v>
      </c>
      <c r="F482" s="5" t="s">
        <v>2379</v>
      </c>
    </row>
    <row r="483" spans="1:6" hidden="1">
      <c r="A483" s="88" t="s">
        <v>1447</v>
      </c>
      <c r="B483" s="88" t="s">
        <v>1446</v>
      </c>
      <c r="C483" s="88" t="s">
        <v>488</v>
      </c>
      <c r="D483" s="88" t="s">
        <v>344</v>
      </c>
      <c r="E483" s="88" t="s">
        <v>1446</v>
      </c>
      <c r="F483" s="5" t="s">
        <v>2380</v>
      </c>
    </row>
    <row r="484" spans="1:6" hidden="1">
      <c r="A484" s="88" t="s">
        <v>1449</v>
      </c>
      <c r="B484" s="88" t="s">
        <v>1448</v>
      </c>
      <c r="C484" s="88" t="s">
        <v>488</v>
      </c>
      <c r="D484" s="88" t="s">
        <v>344</v>
      </c>
      <c r="E484" s="88" t="s">
        <v>1448</v>
      </c>
      <c r="F484" s="5" t="s">
        <v>2381</v>
      </c>
    </row>
    <row r="485" spans="1:6" hidden="1">
      <c r="A485" s="88" t="s">
        <v>1451</v>
      </c>
      <c r="B485" s="88" t="s">
        <v>1450</v>
      </c>
      <c r="C485" s="88" t="s">
        <v>488</v>
      </c>
      <c r="D485" s="88" t="s">
        <v>344</v>
      </c>
      <c r="E485" s="88" t="s">
        <v>1450</v>
      </c>
      <c r="F485" s="5" t="s">
        <v>2382</v>
      </c>
    </row>
    <row r="486" spans="1:6" hidden="1">
      <c r="A486" s="88" t="s">
        <v>1453</v>
      </c>
      <c r="B486" s="88" t="s">
        <v>1452</v>
      </c>
      <c r="C486" s="88" t="s">
        <v>488</v>
      </c>
      <c r="D486" s="88" t="s">
        <v>344</v>
      </c>
      <c r="E486" s="88" t="s">
        <v>1452</v>
      </c>
      <c r="F486" s="5" t="s">
        <v>2383</v>
      </c>
    </row>
    <row r="487" spans="1:6" hidden="1">
      <c r="A487" s="88" t="s">
        <v>1455</v>
      </c>
      <c r="B487" s="88" t="s">
        <v>1454</v>
      </c>
      <c r="C487" s="88" t="s">
        <v>488</v>
      </c>
      <c r="D487" s="88" t="s">
        <v>344</v>
      </c>
      <c r="E487" s="88" t="s">
        <v>1454</v>
      </c>
      <c r="F487" s="5" t="s">
        <v>2384</v>
      </c>
    </row>
    <row r="488" spans="1:6" hidden="1">
      <c r="A488" s="88" t="s">
        <v>1457</v>
      </c>
      <c r="B488" s="88" t="s">
        <v>1456</v>
      </c>
      <c r="C488" s="88" t="s">
        <v>489</v>
      </c>
      <c r="D488" s="88" t="s">
        <v>348</v>
      </c>
      <c r="E488" s="88" t="s">
        <v>1456</v>
      </c>
      <c r="F488" s="5" t="s">
        <v>2385</v>
      </c>
    </row>
    <row r="489" spans="1:6" hidden="1">
      <c r="A489" s="88" t="s">
        <v>226</v>
      </c>
      <c r="B489" s="88" t="s">
        <v>1458</v>
      </c>
      <c r="C489" s="88" t="s">
        <v>489</v>
      </c>
      <c r="D489" s="88" t="s">
        <v>347</v>
      </c>
      <c r="E489" s="88" t="s">
        <v>1458</v>
      </c>
      <c r="F489" s="5" t="s">
        <v>2386</v>
      </c>
    </row>
    <row r="490" spans="1:6" hidden="1">
      <c r="A490" s="88" t="s">
        <v>1460</v>
      </c>
      <c r="B490" s="88" t="s">
        <v>1459</v>
      </c>
      <c r="C490" s="88" t="s">
        <v>489</v>
      </c>
      <c r="D490" s="88" t="s">
        <v>344</v>
      </c>
      <c r="E490" s="88" t="s">
        <v>1459</v>
      </c>
      <c r="F490" s="5" t="s">
        <v>2387</v>
      </c>
    </row>
    <row r="491" spans="1:6" hidden="1">
      <c r="A491" s="88" t="s">
        <v>1462</v>
      </c>
      <c r="B491" s="88" t="s">
        <v>1461</v>
      </c>
      <c r="C491" s="88" t="s">
        <v>489</v>
      </c>
      <c r="D491" s="88" t="s">
        <v>344</v>
      </c>
      <c r="E491" s="88" t="s">
        <v>1461</v>
      </c>
      <c r="F491" s="5" t="s">
        <v>2388</v>
      </c>
    </row>
    <row r="492" spans="1:6" hidden="1">
      <c r="A492" s="88" t="s">
        <v>1464</v>
      </c>
      <c r="B492" s="88" t="s">
        <v>1463</v>
      </c>
      <c r="C492" s="88" t="s">
        <v>489</v>
      </c>
      <c r="D492" s="88" t="s">
        <v>344</v>
      </c>
      <c r="E492" s="88" t="s">
        <v>1463</v>
      </c>
      <c r="F492" s="5" t="s">
        <v>2389</v>
      </c>
    </row>
    <row r="493" spans="1:6" hidden="1">
      <c r="A493" s="88" t="s">
        <v>1466</v>
      </c>
      <c r="B493" s="88" t="s">
        <v>1465</v>
      </c>
      <c r="C493" s="88" t="s">
        <v>490</v>
      </c>
      <c r="D493" s="88" t="s">
        <v>346</v>
      </c>
      <c r="E493" s="88" t="s">
        <v>1465</v>
      </c>
      <c r="F493" s="5" t="s">
        <v>2390</v>
      </c>
    </row>
    <row r="494" spans="1:6" hidden="1">
      <c r="A494" s="88" t="s">
        <v>1468</v>
      </c>
      <c r="B494" s="88" t="s">
        <v>1467</v>
      </c>
      <c r="C494" s="88" t="s">
        <v>490</v>
      </c>
      <c r="D494" s="88" t="s">
        <v>420</v>
      </c>
      <c r="E494" s="88" t="s">
        <v>1467</v>
      </c>
      <c r="F494" s="5" t="s">
        <v>2391</v>
      </c>
    </row>
    <row r="495" spans="1:6" hidden="1">
      <c r="A495" s="88" t="s">
        <v>1470</v>
      </c>
      <c r="B495" s="88" t="s">
        <v>1469</v>
      </c>
      <c r="C495" s="88" t="s">
        <v>490</v>
      </c>
      <c r="D495" s="88" t="s">
        <v>344</v>
      </c>
      <c r="E495" s="88" t="s">
        <v>1469</v>
      </c>
      <c r="F495" s="5" t="s">
        <v>2392</v>
      </c>
    </row>
    <row r="496" spans="1:6" hidden="1">
      <c r="A496" s="88" t="s">
        <v>1472</v>
      </c>
      <c r="B496" s="88" t="s">
        <v>1471</v>
      </c>
      <c r="C496" s="88" t="s">
        <v>490</v>
      </c>
      <c r="D496" s="88" t="s">
        <v>344</v>
      </c>
      <c r="E496" s="88" t="s">
        <v>1471</v>
      </c>
      <c r="F496" s="5" t="s">
        <v>2393</v>
      </c>
    </row>
    <row r="497" spans="1:6" hidden="1">
      <c r="A497" s="88" t="s">
        <v>1474</v>
      </c>
      <c r="B497" s="88" t="s">
        <v>1473</v>
      </c>
      <c r="C497" s="88" t="s">
        <v>490</v>
      </c>
      <c r="D497" s="88" t="s">
        <v>344</v>
      </c>
      <c r="E497" s="88" t="s">
        <v>1473</v>
      </c>
      <c r="F497" s="5" t="s">
        <v>2394</v>
      </c>
    </row>
    <row r="498" spans="1:6" hidden="1">
      <c r="A498" s="88" t="s">
        <v>1476</v>
      </c>
      <c r="B498" s="88" t="s">
        <v>1475</v>
      </c>
      <c r="C498" s="88" t="s">
        <v>490</v>
      </c>
      <c r="D498" s="88" t="s">
        <v>344</v>
      </c>
      <c r="E498" s="88" t="s">
        <v>1475</v>
      </c>
      <c r="F498" s="5" t="s">
        <v>2395</v>
      </c>
    </row>
    <row r="499" spans="1:6" hidden="1">
      <c r="A499" s="88" t="s">
        <v>1478</v>
      </c>
      <c r="B499" s="88" t="s">
        <v>1477</v>
      </c>
      <c r="C499" s="88" t="s">
        <v>491</v>
      </c>
      <c r="D499" s="88" t="s">
        <v>344</v>
      </c>
      <c r="E499" s="88" t="s">
        <v>1477</v>
      </c>
      <c r="F499" s="5" t="s">
        <v>2396</v>
      </c>
    </row>
    <row r="500" spans="1:6" hidden="1">
      <c r="A500" s="88" t="s">
        <v>1480</v>
      </c>
      <c r="B500" s="88" t="s">
        <v>1479</v>
      </c>
      <c r="C500" s="88" t="s">
        <v>491</v>
      </c>
      <c r="D500" s="88" t="s">
        <v>344</v>
      </c>
      <c r="E500" s="88" t="s">
        <v>1479</v>
      </c>
      <c r="F500" s="5" t="s">
        <v>2397</v>
      </c>
    </row>
    <row r="501" spans="1:6" hidden="1">
      <c r="A501" s="88" t="s">
        <v>1482</v>
      </c>
      <c r="B501" s="88" t="s">
        <v>1481</v>
      </c>
      <c r="C501" s="88" t="s">
        <v>492</v>
      </c>
      <c r="D501" s="88" t="s">
        <v>344</v>
      </c>
      <c r="E501" s="88" t="s">
        <v>1481</v>
      </c>
      <c r="F501" s="5" t="s">
        <v>2398</v>
      </c>
    </row>
    <row r="502" spans="1:6" hidden="1">
      <c r="A502" s="88" t="s">
        <v>1484</v>
      </c>
      <c r="B502" s="88" t="s">
        <v>1483</v>
      </c>
      <c r="C502" s="88" t="s">
        <v>493</v>
      </c>
      <c r="D502" s="88" t="s">
        <v>478</v>
      </c>
      <c r="E502" s="88" t="s">
        <v>1483</v>
      </c>
      <c r="F502" s="5" t="s">
        <v>2399</v>
      </c>
    </row>
    <row r="503" spans="1:6" hidden="1">
      <c r="A503" s="88" t="s">
        <v>1486</v>
      </c>
      <c r="B503" s="88" t="s">
        <v>1485</v>
      </c>
      <c r="C503" s="88" t="s">
        <v>494</v>
      </c>
      <c r="D503" s="88" t="s">
        <v>344</v>
      </c>
      <c r="E503" s="88" t="s">
        <v>1485</v>
      </c>
      <c r="F503" s="5" t="s">
        <v>2400</v>
      </c>
    </row>
    <row r="504" spans="1:6" hidden="1">
      <c r="A504" s="88" t="s">
        <v>1488</v>
      </c>
      <c r="B504" s="88" t="s">
        <v>1487</v>
      </c>
      <c r="C504" s="88" t="s">
        <v>495</v>
      </c>
      <c r="D504" s="88" t="s">
        <v>344</v>
      </c>
      <c r="E504" s="88" t="s">
        <v>1487</v>
      </c>
      <c r="F504" s="5" t="s">
        <v>2401</v>
      </c>
    </row>
    <row r="505" spans="1:6" hidden="1">
      <c r="A505" s="88" t="s">
        <v>1490</v>
      </c>
      <c r="B505" s="88" t="s">
        <v>1489</v>
      </c>
      <c r="C505" s="88" t="s">
        <v>496</v>
      </c>
      <c r="D505" s="88" t="s">
        <v>346</v>
      </c>
      <c r="E505" s="88" t="s">
        <v>1489</v>
      </c>
      <c r="F505" s="5" t="s">
        <v>2402</v>
      </c>
    </row>
    <row r="506" spans="1:6" hidden="1">
      <c r="A506" s="88" t="s">
        <v>1492</v>
      </c>
      <c r="B506" s="88" t="s">
        <v>1491</v>
      </c>
      <c r="C506" s="88" t="s">
        <v>497</v>
      </c>
      <c r="D506" s="88" t="s">
        <v>348</v>
      </c>
      <c r="E506" s="88" t="s">
        <v>1491</v>
      </c>
      <c r="F506" s="5" t="s">
        <v>2403</v>
      </c>
    </row>
    <row r="507" spans="1:6" hidden="1">
      <c r="A507" s="88" t="s">
        <v>1494</v>
      </c>
      <c r="B507" s="88" t="s">
        <v>1493</v>
      </c>
      <c r="C507" s="88" t="s">
        <v>497</v>
      </c>
      <c r="D507" s="88" t="s">
        <v>420</v>
      </c>
      <c r="E507" s="88" t="s">
        <v>1493</v>
      </c>
      <c r="F507" s="5" t="s">
        <v>2404</v>
      </c>
    </row>
    <row r="508" spans="1:6" hidden="1">
      <c r="A508" s="88" t="s">
        <v>1496</v>
      </c>
      <c r="B508" s="88" t="s">
        <v>1495</v>
      </c>
      <c r="C508" s="88" t="s">
        <v>497</v>
      </c>
      <c r="D508" s="88" t="s">
        <v>344</v>
      </c>
      <c r="E508" s="88" t="s">
        <v>1495</v>
      </c>
      <c r="F508" s="5" t="s">
        <v>2405</v>
      </c>
    </row>
    <row r="509" spans="1:6" hidden="1">
      <c r="A509" s="88" t="s">
        <v>1498</v>
      </c>
      <c r="B509" s="88" t="s">
        <v>1497</v>
      </c>
      <c r="C509" s="88" t="s">
        <v>497</v>
      </c>
      <c r="D509" s="88" t="s">
        <v>344</v>
      </c>
      <c r="E509" s="88" t="s">
        <v>1497</v>
      </c>
      <c r="F509" s="5" t="s">
        <v>2406</v>
      </c>
    </row>
    <row r="510" spans="1:6" hidden="1">
      <c r="A510" s="88" t="s">
        <v>1500</v>
      </c>
      <c r="B510" s="88" t="s">
        <v>1499</v>
      </c>
      <c r="C510" s="88" t="s">
        <v>497</v>
      </c>
      <c r="D510" s="88" t="s">
        <v>344</v>
      </c>
      <c r="E510" s="88" t="s">
        <v>1499</v>
      </c>
      <c r="F510" s="5" t="s">
        <v>2407</v>
      </c>
    </row>
    <row r="511" spans="1:6" hidden="1">
      <c r="A511" s="88" t="s">
        <v>1502</v>
      </c>
      <c r="B511" s="88" t="s">
        <v>1501</v>
      </c>
      <c r="C511" s="88" t="s">
        <v>497</v>
      </c>
      <c r="D511" s="88" t="s">
        <v>344</v>
      </c>
      <c r="E511" s="88" t="s">
        <v>1501</v>
      </c>
      <c r="F511" s="5" t="s">
        <v>2408</v>
      </c>
    </row>
    <row r="512" spans="1:6" hidden="1">
      <c r="A512" s="88" t="s">
        <v>1504</v>
      </c>
      <c r="B512" s="88" t="s">
        <v>1503</v>
      </c>
      <c r="C512" s="88" t="s">
        <v>497</v>
      </c>
      <c r="D512" s="88" t="s">
        <v>344</v>
      </c>
      <c r="E512" s="88" t="s">
        <v>1503</v>
      </c>
      <c r="F512" s="5" t="s">
        <v>2409</v>
      </c>
    </row>
    <row r="513" spans="1:6" hidden="1">
      <c r="A513" s="88" t="s">
        <v>109</v>
      </c>
      <c r="B513" s="88" t="s">
        <v>602</v>
      </c>
      <c r="C513" s="88" t="s">
        <v>498</v>
      </c>
      <c r="D513" s="88" t="s">
        <v>499</v>
      </c>
      <c r="E513" s="88" t="s">
        <v>602</v>
      </c>
      <c r="F513" s="5" t="s">
        <v>1879</v>
      </c>
    </row>
    <row r="514" spans="1:6" hidden="1">
      <c r="A514" s="89" t="s">
        <v>136</v>
      </c>
      <c r="B514" s="89" t="s">
        <v>667</v>
      </c>
      <c r="C514" s="89" t="s">
        <v>500</v>
      </c>
      <c r="D514" s="89" t="s">
        <v>347</v>
      </c>
      <c r="E514" s="89" t="s">
        <v>667</v>
      </c>
      <c r="F514" s="5" t="s">
        <v>1972</v>
      </c>
    </row>
    <row r="515" spans="1:6" hidden="1">
      <c r="A515" s="88" t="s">
        <v>756</v>
      </c>
      <c r="B515" s="88" t="s">
        <v>755</v>
      </c>
      <c r="C515" s="88" t="s">
        <v>1813</v>
      </c>
      <c r="D515" s="88" t="s">
        <v>501</v>
      </c>
      <c r="E515" s="88" t="s">
        <v>755</v>
      </c>
      <c r="F515" s="5" t="s">
        <v>2140</v>
      </c>
    </row>
    <row r="516" spans="1:6" hidden="1">
      <c r="A516" s="89" t="s">
        <v>814</v>
      </c>
      <c r="B516" s="89" t="s">
        <v>813</v>
      </c>
      <c r="C516" s="90" t="s">
        <v>1814</v>
      </c>
      <c r="D516" s="89" t="s">
        <v>499</v>
      </c>
      <c r="E516" s="89" t="s">
        <v>813</v>
      </c>
      <c r="F516" s="5" t="s">
        <v>2159</v>
      </c>
    </row>
    <row r="517" spans="1:6" hidden="1">
      <c r="A517" s="89" t="s">
        <v>949</v>
      </c>
      <c r="B517" s="89" t="s">
        <v>948</v>
      </c>
      <c r="C517" s="89" t="s">
        <v>502</v>
      </c>
      <c r="D517" s="89" t="s">
        <v>347</v>
      </c>
      <c r="E517" s="89" t="s">
        <v>948</v>
      </c>
      <c r="F517" s="5" t="s">
        <v>2206</v>
      </c>
    </row>
    <row r="518" spans="1:6" hidden="1">
      <c r="A518" s="88" t="s">
        <v>1506</v>
      </c>
      <c r="B518" s="88" t="s">
        <v>1505</v>
      </c>
      <c r="C518" s="88" t="s">
        <v>503</v>
      </c>
      <c r="D518" s="88" t="s">
        <v>499</v>
      </c>
      <c r="E518" s="88" t="s">
        <v>1505</v>
      </c>
      <c r="F518" s="5" t="s">
        <v>2410</v>
      </c>
    </row>
    <row r="519" spans="1:6" hidden="1">
      <c r="A519" s="88" t="s">
        <v>1508</v>
      </c>
      <c r="B519" s="88" t="s">
        <v>1507</v>
      </c>
      <c r="C519" s="88" t="s">
        <v>504</v>
      </c>
      <c r="D519" s="88" t="s">
        <v>347</v>
      </c>
      <c r="E519" s="88" t="s">
        <v>1507</v>
      </c>
      <c r="F519" s="5" t="s">
        <v>2411</v>
      </c>
    </row>
    <row r="520" spans="1:6" hidden="1">
      <c r="A520" s="88" t="s">
        <v>1510</v>
      </c>
      <c r="B520" s="88" t="s">
        <v>1509</v>
      </c>
      <c r="C520" s="88" t="s">
        <v>504</v>
      </c>
      <c r="D520" s="88" t="s">
        <v>347</v>
      </c>
      <c r="E520" s="88" t="s">
        <v>1509</v>
      </c>
      <c r="F520" s="5" t="s">
        <v>2412</v>
      </c>
    </row>
    <row r="521" spans="1:6" hidden="1">
      <c r="A521" s="88" t="s">
        <v>1269</v>
      </c>
      <c r="B521" s="88" t="s">
        <v>1268</v>
      </c>
      <c r="C521" s="88" t="s">
        <v>505</v>
      </c>
      <c r="D521" s="88" t="s">
        <v>347</v>
      </c>
      <c r="E521" s="88" t="s">
        <v>1268</v>
      </c>
      <c r="F521" s="5" t="s">
        <v>2303</v>
      </c>
    </row>
    <row r="522" spans="1:6" hidden="1">
      <c r="A522" s="88" t="s">
        <v>1490</v>
      </c>
      <c r="B522" s="88" t="s">
        <v>1489</v>
      </c>
      <c r="C522" s="88" t="s">
        <v>506</v>
      </c>
      <c r="D522" s="88" t="s">
        <v>348</v>
      </c>
      <c r="E522" s="88" t="s">
        <v>1489</v>
      </c>
      <c r="F522" s="5" t="s">
        <v>2402</v>
      </c>
    </row>
    <row r="523" spans="1:6" hidden="1">
      <c r="A523" s="88" t="s">
        <v>1512</v>
      </c>
      <c r="B523" s="88" t="s">
        <v>1511</v>
      </c>
      <c r="C523" s="88" t="s">
        <v>506</v>
      </c>
      <c r="D523" s="88" t="s">
        <v>344</v>
      </c>
      <c r="E523" s="88" t="s">
        <v>1511</v>
      </c>
      <c r="F523" s="5" t="s">
        <v>2413</v>
      </c>
    </row>
    <row r="524" spans="1:6" hidden="1">
      <c r="A524" s="88" t="s">
        <v>1514</v>
      </c>
      <c r="B524" s="88" t="s">
        <v>1513</v>
      </c>
      <c r="C524" s="88" t="s">
        <v>506</v>
      </c>
      <c r="D524" s="88" t="s">
        <v>344</v>
      </c>
      <c r="E524" s="88" t="s">
        <v>1513</v>
      </c>
      <c r="F524" s="5" t="s">
        <v>2414</v>
      </c>
    </row>
    <row r="525" spans="1:6" hidden="1">
      <c r="A525" s="88" t="s">
        <v>1516</v>
      </c>
      <c r="B525" s="88" t="s">
        <v>1515</v>
      </c>
      <c r="C525" s="88" t="s">
        <v>506</v>
      </c>
      <c r="D525" s="88" t="s">
        <v>344</v>
      </c>
      <c r="E525" s="88" t="s">
        <v>1515</v>
      </c>
      <c r="F525" s="5" t="s">
        <v>2415</v>
      </c>
    </row>
    <row r="526" spans="1:6" hidden="1">
      <c r="A526" s="88" t="s">
        <v>1518</v>
      </c>
      <c r="B526" s="88" t="s">
        <v>1517</v>
      </c>
      <c r="C526" s="88" t="s">
        <v>506</v>
      </c>
      <c r="D526" s="88" t="s">
        <v>344</v>
      </c>
      <c r="E526" s="88" t="s">
        <v>1517</v>
      </c>
      <c r="F526" s="5" t="s">
        <v>2416</v>
      </c>
    </row>
    <row r="527" spans="1:6" hidden="1">
      <c r="A527" s="88" t="s">
        <v>1520</v>
      </c>
      <c r="B527" s="88" t="s">
        <v>1519</v>
      </c>
      <c r="C527" s="88" t="s">
        <v>507</v>
      </c>
      <c r="D527" s="88" t="s">
        <v>344</v>
      </c>
      <c r="E527" s="88" t="s">
        <v>1519</v>
      </c>
      <c r="F527" s="5" t="s">
        <v>2417</v>
      </c>
    </row>
    <row r="528" spans="1:6" hidden="1">
      <c r="A528" s="88" t="s">
        <v>185</v>
      </c>
      <c r="B528" s="88" t="s">
        <v>1521</v>
      </c>
      <c r="C528" s="88" t="s">
        <v>508</v>
      </c>
      <c r="D528" s="88" t="s">
        <v>348</v>
      </c>
      <c r="E528" s="88" t="s">
        <v>1521</v>
      </c>
      <c r="F528" s="5" t="s">
        <v>2418</v>
      </c>
    </row>
    <row r="529" spans="1:6" hidden="1">
      <c r="A529" s="88" t="s">
        <v>1523</v>
      </c>
      <c r="B529" s="88" t="s">
        <v>1522</v>
      </c>
      <c r="C529" s="88" t="s">
        <v>508</v>
      </c>
      <c r="D529" s="88" t="s">
        <v>420</v>
      </c>
      <c r="E529" s="88" t="s">
        <v>1522</v>
      </c>
      <c r="F529" s="5" t="s">
        <v>2419</v>
      </c>
    </row>
    <row r="530" spans="1:6" hidden="1">
      <c r="A530" s="88" t="s">
        <v>1525</v>
      </c>
      <c r="B530" s="88" t="s">
        <v>1524</v>
      </c>
      <c r="C530" s="88" t="s">
        <v>508</v>
      </c>
      <c r="D530" s="88" t="s">
        <v>344</v>
      </c>
      <c r="E530" s="88" t="s">
        <v>1524</v>
      </c>
      <c r="F530" s="5" t="s">
        <v>2420</v>
      </c>
    </row>
    <row r="531" spans="1:6" hidden="1">
      <c r="A531" s="88" t="s">
        <v>1527</v>
      </c>
      <c r="B531" s="88" t="s">
        <v>1526</v>
      </c>
      <c r="C531" s="88" t="s">
        <v>509</v>
      </c>
      <c r="D531" s="88" t="s">
        <v>344</v>
      </c>
      <c r="E531" s="88" t="s">
        <v>1526</v>
      </c>
      <c r="F531" s="5" t="s">
        <v>2421</v>
      </c>
    </row>
    <row r="532" spans="1:6" hidden="1">
      <c r="A532" s="88" t="s">
        <v>1529</v>
      </c>
      <c r="B532" s="88" t="s">
        <v>1528</v>
      </c>
      <c r="C532" s="88" t="s">
        <v>510</v>
      </c>
      <c r="D532" s="88" t="s">
        <v>344</v>
      </c>
      <c r="E532" s="88" t="s">
        <v>1528</v>
      </c>
      <c r="F532" s="5" t="s">
        <v>2422</v>
      </c>
    </row>
    <row r="533" spans="1:6" hidden="1">
      <c r="A533" s="88" t="s">
        <v>1262</v>
      </c>
      <c r="B533" s="88" t="s">
        <v>1261</v>
      </c>
      <c r="C533" s="88" t="s">
        <v>511</v>
      </c>
      <c r="D533" s="88" t="s">
        <v>344</v>
      </c>
      <c r="E533" s="88" t="s">
        <v>1261</v>
      </c>
      <c r="F533" s="5" t="s">
        <v>2423</v>
      </c>
    </row>
    <row r="534" spans="1:6" hidden="1">
      <c r="A534" s="88" t="s">
        <v>1531</v>
      </c>
      <c r="B534" s="88" t="s">
        <v>1530</v>
      </c>
      <c r="C534" s="88" t="s">
        <v>512</v>
      </c>
      <c r="D534" s="88" t="s">
        <v>346</v>
      </c>
      <c r="E534" s="88" t="s">
        <v>1530</v>
      </c>
      <c r="F534" s="5" t="s">
        <v>2424</v>
      </c>
    </row>
    <row r="535" spans="1:6" hidden="1">
      <c r="A535" s="88" t="s">
        <v>1533</v>
      </c>
      <c r="B535" s="88" t="s">
        <v>1532</v>
      </c>
      <c r="C535" s="88" t="s">
        <v>512</v>
      </c>
      <c r="D535" s="88" t="s">
        <v>344</v>
      </c>
      <c r="E535" s="88" t="s">
        <v>1532</v>
      </c>
      <c r="F535" s="5" t="s">
        <v>2425</v>
      </c>
    </row>
    <row r="536" spans="1:6" hidden="1">
      <c r="A536" s="88" t="s">
        <v>1535</v>
      </c>
      <c r="B536" s="88" t="s">
        <v>1534</v>
      </c>
      <c r="C536" s="88" t="s">
        <v>513</v>
      </c>
      <c r="D536" s="88" t="s">
        <v>420</v>
      </c>
      <c r="E536" s="88" t="s">
        <v>1534</v>
      </c>
      <c r="F536" s="5" t="s">
        <v>2426</v>
      </c>
    </row>
    <row r="537" spans="1:6" hidden="1">
      <c r="A537" s="88" t="s">
        <v>1537</v>
      </c>
      <c r="B537" s="88" t="s">
        <v>1536</v>
      </c>
      <c r="C537" s="88" t="s">
        <v>513</v>
      </c>
      <c r="D537" s="88" t="s">
        <v>347</v>
      </c>
      <c r="E537" s="88" t="s">
        <v>1536</v>
      </c>
      <c r="F537" s="5" t="s">
        <v>2427</v>
      </c>
    </row>
    <row r="538" spans="1:6" hidden="1">
      <c r="A538" s="88" t="s">
        <v>1539</v>
      </c>
      <c r="B538" s="88" t="s">
        <v>1538</v>
      </c>
      <c r="C538" s="88" t="s">
        <v>513</v>
      </c>
      <c r="D538" s="88" t="s">
        <v>347</v>
      </c>
      <c r="E538" s="88" t="s">
        <v>1538</v>
      </c>
      <c r="F538" s="5" t="s">
        <v>2428</v>
      </c>
    </row>
    <row r="539" spans="1:6" hidden="1">
      <c r="A539" s="88" t="s">
        <v>1541</v>
      </c>
      <c r="B539" s="88" t="s">
        <v>1540</v>
      </c>
      <c r="C539" s="88" t="s">
        <v>513</v>
      </c>
      <c r="D539" s="88" t="s">
        <v>344</v>
      </c>
      <c r="E539" s="88" t="s">
        <v>1540</v>
      </c>
      <c r="F539" s="5" t="s">
        <v>2429</v>
      </c>
    </row>
    <row r="540" spans="1:6" hidden="1">
      <c r="A540" s="88" t="s">
        <v>1543</v>
      </c>
      <c r="B540" s="88" t="s">
        <v>1542</v>
      </c>
      <c r="C540" s="88" t="s">
        <v>513</v>
      </c>
      <c r="D540" s="88" t="s">
        <v>344</v>
      </c>
      <c r="E540" s="88" t="s">
        <v>1542</v>
      </c>
      <c r="F540" s="5" t="s">
        <v>2430</v>
      </c>
    </row>
    <row r="541" spans="1:6" hidden="1">
      <c r="A541" s="88" t="s">
        <v>1545</v>
      </c>
      <c r="B541" s="88" t="s">
        <v>1544</v>
      </c>
      <c r="C541" s="88" t="s">
        <v>513</v>
      </c>
      <c r="D541" s="88" t="s">
        <v>344</v>
      </c>
      <c r="E541" s="88" t="s">
        <v>1544</v>
      </c>
      <c r="F541" s="5" t="s">
        <v>2431</v>
      </c>
    </row>
    <row r="542" spans="1:6" hidden="1">
      <c r="A542" s="88" t="s">
        <v>1547</v>
      </c>
      <c r="B542" s="88" t="s">
        <v>1546</v>
      </c>
      <c r="C542" s="88" t="s">
        <v>513</v>
      </c>
      <c r="D542" s="88" t="s">
        <v>344</v>
      </c>
      <c r="E542" s="88" t="s">
        <v>1546</v>
      </c>
      <c r="F542" s="5" t="s">
        <v>2432</v>
      </c>
    </row>
    <row r="543" spans="1:6" hidden="1">
      <c r="A543" s="88" t="s">
        <v>1549</v>
      </c>
      <c r="B543" s="88" t="s">
        <v>1548</v>
      </c>
      <c r="C543" s="88" t="s">
        <v>513</v>
      </c>
      <c r="D543" s="88" t="s">
        <v>344</v>
      </c>
      <c r="E543" s="88" t="s">
        <v>1548</v>
      </c>
      <c r="F543" s="5" t="s">
        <v>2433</v>
      </c>
    </row>
    <row r="544" spans="1:6" hidden="1">
      <c r="A544" s="88" t="s">
        <v>1551</v>
      </c>
      <c r="B544" s="88" t="s">
        <v>1550</v>
      </c>
      <c r="C544" s="88" t="s">
        <v>513</v>
      </c>
      <c r="D544" s="88" t="s">
        <v>344</v>
      </c>
      <c r="E544" s="88" t="s">
        <v>1550</v>
      </c>
      <c r="F544" s="5" t="s">
        <v>2434</v>
      </c>
    </row>
    <row r="545" spans="1:6" hidden="1">
      <c r="A545" s="88" t="s">
        <v>1553</v>
      </c>
      <c r="B545" s="88" t="s">
        <v>1552</v>
      </c>
      <c r="C545" s="88" t="s">
        <v>513</v>
      </c>
      <c r="D545" s="88" t="s">
        <v>344</v>
      </c>
      <c r="E545" s="88" t="s">
        <v>1552</v>
      </c>
      <c r="F545" s="5" t="s">
        <v>2435</v>
      </c>
    </row>
    <row r="546" spans="1:6" hidden="1">
      <c r="A546" s="88" t="s">
        <v>1555</v>
      </c>
      <c r="B546" s="88" t="s">
        <v>1554</v>
      </c>
      <c r="C546" s="88" t="s">
        <v>513</v>
      </c>
      <c r="D546" s="88" t="s">
        <v>344</v>
      </c>
      <c r="E546" s="88" t="s">
        <v>1554</v>
      </c>
      <c r="F546" s="5" t="s">
        <v>2436</v>
      </c>
    </row>
    <row r="547" spans="1:6" hidden="1">
      <c r="A547" s="88" t="s">
        <v>1557</v>
      </c>
      <c r="B547" s="88" t="s">
        <v>1556</v>
      </c>
      <c r="C547" s="88" t="s">
        <v>513</v>
      </c>
      <c r="D547" s="88" t="s">
        <v>344</v>
      </c>
      <c r="E547" s="88" t="s">
        <v>1556</v>
      </c>
      <c r="F547" s="5" t="s">
        <v>2437</v>
      </c>
    </row>
    <row r="548" spans="1:6" hidden="1">
      <c r="A548" s="88" t="s">
        <v>1559</v>
      </c>
      <c r="B548" s="88" t="s">
        <v>1558</v>
      </c>
      <c r="C548" s="88" t="s">
        <v>513</v>
      </c>
      <c r="D548" s="88" t="s">
        <v>344</v>
      </c>
      <c r="E548" s="88" t="s">
        <v>1558</v>
      </c>
      <c r="F548" s="5" t="s">
        <v>2438</v>
      </c>
    </row>
    <row r="549" spans="1:6" hidden="1">
      <c r="A549" s="88" t="s">
        <v>1561</v>
      </c>
      <c r="B549" s="88" t="s">
        <v>1560</v>
      </c>
      <c r="C549" s="88" t="s">
        <v>513</v>
      </c>
      <c r="D549" s="88" t="s">
        <v>344</v>
      </c>
      <c r="E549" s="88" t="s">
        <v>1560</v>
      </c>
      <c r="F549" s="5" t="s">
        <v>2439</v>
      </c>
    </row>
    <row r="550" spans="1:6" hidden="1">
      <c r="A550" s="88" t="s">
        <v>1531</v>
      </c>
      <c r="B550" s="88" t="s">
        <v>1530</v>
      </c>
      <c r="C550" s="88" t="s">
        <v>514</v>
      </c>
      <c r="D550" s="88" t="s">
        <v>346</v>
      </c>
      <c r="E550" s="88" t="s">
        <v>1530</v>
      </c>
      <c r="F550" s="5" t="s">
        <v>2424</v>
      </c>
    </row>
    <row r="551" spans="1:6" hidden="1">
      <c r="A551" s="88" t="s">
        <v>1563</v>
      </c>
      <c r="B551" s="88" t="s">
        <v>1562</v>
      </c>
      <c r="C551" s="88" t="s">
        <v>514</v>
      </c>
      <c r="D551" s="88" t="s">
        <v>420</v>
      </c>
      <c r="E551" s="88" t="s">
        <v>1562</v>
      </c>
      <c r="F551" s="5" t="s">
        <v>2440</v>
      </c>
    </row>
    <row r="552" spans="1:6" hidden="1">
      <c r="A552" s="88" t="s">
        <v>1565</v>
      </c>
      <c r="B552" s="88" t="s">
        <v>1564</v>
      </c>
      <c r="C552" s="88" t="s">
        <v>514</v>
      </c>
      <c r="D552" s="88" t="s">
        <v>344</v>
      </c>
      <c r="E552" s="88" t="s">
        <v>1564</v>
      </c>
      <c r="F552" s="5" t="s">
        <v>2441</v>
      </c>
    </row>
    <row r="553" spans="1:6" hidden="1">
      <c r="A553" s="88" t="s">
        <v>1567</v>
      </c>
      <c r="B553" s="88" t="s">
        <v>1566</v>
      </c>
      <c r="C553" s="88" t="s">
        <v>515</v>
      </c>
      <c r="D553" s="88" t="s">
        <v>344</v>
      </c>
      <c r="E553" s="88" t="s">
        <v>1566</v>
      </c>
      <c r="F553" s="5" t="s">
        <v>2442</v>
      </c>
    </row>
    <row r="554" spans="1:6" hidden="1">
      <c r="A554" s="88" t="s">
        <v>1569</v>
      </c>
      <c r="B554" s="88" t="s">
        <v>1568</v>
      </c>
      <c r="C554" s="88" t="s">
        <v>516</v>
      </c>
      <c r="D554" s="88" t="s">
        <v>478</v>
      </c>
      <c r="E554" s="88" t="s">
        <v>1568</v>
      </c>
      <c r="F554" s="5" t="s">
        <v>2443</v>
      </c>
    </row>
    <row r="555" spans="1:6" hidden="1">
      <c r="A555" s="88" t="s">
        <v>1571</v>
      </c>
      <c r="B555" s="88" t="s">
        <v>1570</v>
      </c>
      <c r="C555" s="88" t="s">
        <v>517</v>
      </c>
      <c r="D555" s="88" t="s">
        <v>344</v>
      </c>
      <c r="E555" s="88" t="s">
        <v>1570</v>
      </c>
      <c r="F555" s="5" t="s">
        <v>2444</v>
      </c>
    </row>
    <row r="556" spans="1:6" hidden="1">
      <c r="A556" s="88" t="s">
        <v>1573</v>
      </c>
      <c r="B556" s="88" t="s">
        <v>1572</v>
      </c>
      <c r="C556" s="88" t="s">
        <v>518</v>
      </c>
      <c r="D556" s="88" t="s">
        <v>346</v>
      </c>
      <c r="E556" s="88" t="s">
        <v>1572</v>
      </c>
      <c r="F556" s="5" t="s">
        <v>2445</v>
      </c>
    </row>
    <row r="557" spans="1:6" hidden="1">
      <c r="A557" s="88" t="s">
        <v>574</v>
      </c>
      <c r="B557" s="88" t="s">
        <v>573</v>
      </c>
      <c r="C557" s="88" t="s">
        <v>518</v>
      </c>
      <c r="D557" s="88" t="s">
        <v>420</v>
      </c>
      <c r="E557" s="88" t="s">
        <v>573</v>
      </c>
      <c r="F557" s="5" t="s">
        <v>2446</v>
      </c>
    </row>
    <row r="558" spans="1:6" hidden="1">
      <c r="A558" s="88" t="s">
        <v>1575</v>
      </c>
      <c r="B558" s="88" t="s">
        <v>1574</v>
      </c>
      <c r="C558" s="88" t="s">
        <v>518</v>
      </c>
      <c r="D558" s="88" t="s">
        <v>344</v>
      </c>
      <c r="E558" s="88" t="s">
        <v>1574</v>
      </c>
      <c r="F558" s="5" t="s">
        <v>2447</v>
      </c>
    </row>
    <row r="559" spans="1:6" hidden="1">
      <c r="A559" s="88" t="s">
        <v>1577</v>
      </c>
      <c r="B559" s="88" t="s">
        <v>1576</v>
      </c>
      <c r="C559" s="88" t="s">
        <v>518</v>
      </c>
      <c r="D559" s="88" t="s">
        <v>344</v>
      </c>
      <c r="E559" s="88" t="s">
        <v>1576</v>
      </c>
      <c r="F559" s="5" t="s">
        <v>2448</v>
      </c>
    </row>
    <row r="560" spans="1:6" hidden="1">
      <c r="A560" s="88" t="s">
        <v>1579</v>
      </c>
      <c r="B560" s="88" t="s">
        <v>1578</v>
      </c>
      <c r="C560" s="88" t="s">
        <v>519</v>
      </c>
      <c r="D560" s="88" t="s">
        <v>344</v>
      </c>
      <c r="E560" s="88" t="s">
        <v>1578</v>
      </c>
      <c r="F560" s="5" t="s">
        <v>2449</v>
      </c>
    </row>
    <row r="561" spans="1:6" hidden="1">
      <c r="A561" s="88" t="s">
        <v>1581</v>
      </c>
      <c r="B561" s="88" t="s">
        <v>1580</v>
      </c>
      <c r="C561" s="88" t="s">
        <v>520</v>
      </c>
      <c r="D561" s="88" t="s">
        <v>344</v>
      </c>
      <c r="E561" s="88" t="s">
        <v>1580</v>
      </c>
      <c r="F561" s="5" t="s">
        <v>2450</v>
      </c>
    </row>
    <row r="562" spans="1:6" hidden="1">
      <c r="A562" s="88" t="s">
        <v>1571</v>
      </c>
      <c r="B562" s="88" t="s">
        <v>1570</v>
      </c>
      <c r="C562" s="88" t="s">
        <v>520</v>
      </c>
      <c r="D562" s="88" t="s">
        <v>344</v>
      </c>
      <c r="E562" s="88" t="s">
        <v>1570</v>
      </c>
      <c r="F562" s="5" t="s">
        <v>2444</v>
      </c>
    </row>
    <row r="563" spans="1:6" hidden="1">
      <c r="A563" s="88" t="s">
        <v>1583</v>
      </c>
      <c r="B563" s="88" t="s">
        <v>1582</v>
      </c>
      <c r="C563" s="88" t="s">
        <v>521</v>
      </c>
      <c r="D563" s="88" t="s">
        <v>344</v>
      </c>
      <c r="E563" s="88" t="s">
        <v>1582</v>
      </c>
      <c r="F563" s="5" t="s">
        <v>2451</v>
      </c>
    </row>
    <row r="564" spans="1:6" hidden="1">
      <c r="A564" s="88" t="s">
        <v>1585</v>
      </c>
      <c r="B564" s="88" t="s">
        <v>1584</v>
      </c>
      <c r="C564" s="88" t="s">
        <v>521</v>
      </c>
      <c r="D564" s="88" t="s">
        <v>344</v>
      </c>
      <c r="E564" s="88" t="s">
        <v>1584</v>
      </c>
      <c r="F564" s="5" t="s">
        <v>2452</v>
      </c>
    </row>
    <row r="565" spans="1:6" hidden="1">
      <c r="A565" s="88" t="s">
        <v>1587</v>
      </c>
      <c r="B565" s="88" t="s">
        <v>1586</v>
      </c>
      <c r="C565" s="88" t="s">
        <v>521</v>
      </c>
      <c r="D565" s="88" t="s">
        <v>344</v>
      </c>
      <c r="E565" s="88" t="s">
        <v>1586</v>
      </c>
      <c r="F565" s="5" t="s">
        <v>2453</v>
      </c>
    </row>
    <row r="566" spans="1:6" hidden="1">
      <c r="A566" s="88" t="s">
        <v>1589</v>
      </c>
      <c r="B566" s="88" t="s">
        <v>1588</v>
      </c>
      <c r="C566" s="88" t="s">
        <v>521</v>
      </c>
      <c r="D566" s="88" t="s">
        <v>344</v>
      </c>
      <c r="E566" s="88" t="s">
        <v>1588</v>
      </c>
      <c r="F566" s="5" t="s">
        <v>2454</v>
      </c>
    </row>
    <row r="567" spans="1:6" hidden="1">
      <c r="A567" s="88" t="s">
        <v>1591</v>
      </c>
      <c r="B567" s="88" t="s">
        <v>1590</v>
      </c>
      <c r="C567" s="88" t="s">
        <v>521</v>
      </c>
      <c r="D567" s="88" t="s">
        <v>344</v>
      </c>
      <c r="E567" s="88" t="s">
        <v>1590</v>
      </c>
      <c r="F567" s="5" t="s">
        <v>2455</v>
      </c>
    </row>
    <row r="568" spans="1:6" hidden="1">
      <c r="A568" s="88" t="s">
        <v>1186</v>
      </c>
      <c r="B568" s="88" t="s">
        <v>1185</v>
      </c>
      <c r="C568" s="88" t="s">
        <v>521</v>
      </c>
      <c r="D568" s="88" t="s">
        <v>344</v>
      </c>
      <c r="E568" s="88" t="s">
        <v>1185</v>
      </c>
      <c r="F568" s="5" t="s">
        <v>2456</v>
      </c>
    </row>
    <row r="569" spans="1:6" hidden="1">
      <c r="A569" s="88" t="s">
        <v>1593</v>
      </c>
      <c r="B569" s="88" t="s">
        <v>1592</v>
      </c>
      <c r="C569" s="88" t="s">
        <v>522</v>
      </c>
      <c r="D569" s="88" t="s">
        <v>344</v>
      </c>
      <c r="E569" s="88" t="s">
        <v>1592</v>
      </c>
      <c r="F569" s="5" t="s">
        <v>2457</v>
      </c>
    </row>
    <row r="570" spans="1:6" hidden="1">
      <c r="A570" s="88" t="s">
        <v>1595</v>
      </c>
      <c r="B570" s="88" t="s">
        <v>1594</v>
      </c>
      <c r="C570" s="88" t="s">
        <v>523</v>
      </c>
      <c r="D570" s="88" t="s">
        <v>346</v>
      </c>
      <c r="E570" s="88" t="s">
        <v>1594</v>
      </c>
      <c r="F570" s="5" t="s">
        <v>2458</v>
      </c>
    </row>
    <row r="571" spans="1:6" hidden="1">
      <c r="A571" s="88" t="s">
        <v>1595</v>
      </c>
      <c r="B571" s="88" t="s">
        <v>1594</v>
      </c>
      <c r="C571" s="88" t="s">
        <v>524</v>
      </c>
      <c r="D571" s="88" t="s">
        <v>348</v>
      </c>
      <c r="E571" s="88" t="s">
        <v>1594</v>
      </c>
      <c r="F571" s="5" t="s">
        <v>2458</v>
      </c>
    </row>
    <row r="572" spans="1:6" hidden="1">
      <c r="A572" s="88" t="s">
        <v>1597</v>
      </c>
      <c r="B572" s="88" t="s">
        <v>1596</v>
      </c>
      <c r="C572" s="88" t="s">
        <v>524</v>
      </c>
      <c r="D572" s="88" t="s">
        <v>420</v>
      </c>
      <c r="E572" s="88" t="s">
        <v>1596</v>
      </c>
      <c r="F572" s="5" t="s">
        <v>2459</v>
      </c>
    </row>
    <row r="573" spans="1:6" hidden="1">
      <c r="A573" s="88" t="s">
        <v>1599</v>
      </c>
      <c r="B573" s="88" t="s">
        <v>1598</v>
      </c>
      <c r="C573" s="88" t="s">
        <v>524</v>
      </c>
      <c r="D573" s="88" t="s">
        <v>344</v>
      </c>
      <c r="E573" s="88" t="s">
        <v>1598</v>
      </c>
      <c r="F573" s="5" t="s">
        <v>2460</v>
      </c>
    </row>
    <row r="574" spans="1:6" hidden="1">
      <c r="A574" s="88" t="s">
        <v>1601</v>
      </c>
      <c r="B574" s="88" t="s">
        <v>1600</v>
      </c>
      <c r="C574" s="88" t="s">
        <v>524</v>
      </c>
      <c r="D574" s="88" t="s">
        <v>344</v>
      </c>
      <c r="E574" s="88" t="s">
        <v>1600</v>
      </c>
      <c r="F574" s="5" t="s">
        <v>2461</v>
      </c>
    </row>
    <row r="575" spans="1:6" hidden="1">
      <c r="A575" s="88" t="s">
        <v>1603</v>
      </c>
      <c r="B575" s="88" t="s">
        <v>1602</v>
      </c>
      <c r="C575" s="88" t="s">
        <v>524</v>
      </c>
      <c r="D575" s="88" t="s">
        <v>344</v>
      </c>
      <c r="E575" s="88" t="s">
        <v>1602</v>
      </c>
      <c r="F575" s="5" t="s">
        <v>2462</v>
      </c>
    </row>
    <row r="576" spans="1:6" hidden="1">
      <c r="A576" s="88" t="s">
        <v>1605</v>
      </c>
      <c r="B576" s="88" t="s">
        <v>1604</v>
      </c>
      <c r="C576" s="88" t="s">
        <v>524</v>
      </c>
      <c r="D576" s="88" t="s">
        <v>344</v>
      </c>
      <c r="E576" s="88" t="s">
        <v>1604</v>
      </c>
      <c r="F576" s="5" t="s">
        <v>2463</v>
      </c>
    </row>
    <row r="577" spans="1:6" hidden="1">
      <c r="A577" s="88" t="s">
        <v>1607</v>
      </c>
      <c r="B577" s="88" t="s">
        <v>1606</v>
      </c>
      <c r="C577" s="88" t="s">
        <v>524</v>
      </c>
      <c r="D577" s="88" t="s">
        <v>344</v>
      </c>
      <c r="E577" s="88" t="s">
        <v>1606</v>
      </c>
      <c r="F577" s="5" t="s">
        <v>2464</v>
      </c>
    </row>
    <row r="578" spans="1:6" hidden="1">
      <c r="A578" s="88" t="s">
        <v>1609</v>
      </c>
      <c r="B578" s="88" t="s">
        <v>1608</v>
      </c>
      <c r="C578" s="88" t="s">
        <v>524</v>
      </c>
      <c r="D578" s="88" t="s">
        <v>344</v>
      </c>
      <c r="E578" s="88" t="s">
        <v>1608</v>
      </c>
      <c r="F578" s="5" t="s">
        <v>2465</v>
      </c>
    </row>
    <row r="579" spans="1:6" hidden="1">
      <c r="A579" s="88" t="s">
        <v>1611</v>
      </c>
      <c r="B579" s="88" t="s">
        <v>1610</v>
      </c>
      <c r="C579" s="88" t="s">
        <v>525</v>
      </c>
      <c r="D579" s="88" t="s">
        <v>420</v>
      </c>
      <c r="E579" s="88" t="s">
        <v>1610</v>
      </c>
      <c r="F579" s="5" t="s">
        <v>2466</v>
      </c>
    </row>
    <row r="580" spans="1:6" hidden="1">
      <c r="A580" s="88" t="s">
        <v>1498</v>
      </c>
      <c r="B580" s="88" t="s">
        <v>1497</v>
      </c>
      <c r="C580" s="88" t="s">
        <v>526</v>
      </c>
      <c r="D580" s="88" t="s">
        <v>344</v>
      </c>
      <c r="E580" s="88" t="s">
        <v>1497</v>
      </c>
      <c r="F580" s="5" t="s">
        <v>2406</v>
      </c>
    </row>
    <row r="581" spans="1:6" hidden="1">
      <c r="A581" s="88" t="s">
        <v>1595</v>
      </c>
      <c r="B581" s="88" t="s">
        <v>1594</v>
      </c>
      <c r="C581" s="88" t="s">
        <v>527</v>
      </c>
      <c r="D581" s="88" t="s">
        <v>348</v>
      </c>
      <c r="E581" s="88" t="s">
        <v>1594</v>
      </c>
      <c r="F581" s="5" t="s">
        <v>2458</v>
      </c>
    </row>
    <row r="582" spans="1:6" hidden="1">
      <c r="A582" s="88" t="s">
        <v>1613</v>
      </c>
      <c r="B582" s="88" t="s">
        <v>1612</v>
      </c>
      <c r="C582" s="88" t="s">
        <v>527</v>
      </c>
      <c r="D582" s="88" t="s">
        <v>344</v>
      </c>
      <c r="E582" s="88" t="s">
        <v>1612</v>
      </c>
      <c r="F582" s="5" t="s">
        <v>2467</v>
      </c>
    </row>
    <row r="583" spans="1:6" hidden="1">
      <c r="A583" s="88" t="s">
        <v>1615</v>
      </c>
      <c r="B583" s="88" t="s">
        <v>1614</v>
      </c>
      <c r="C583" s="88" t="s">
        <v>528</v>
      </c>
      <c r="D583" s="88" t="s">
        <v>344</v>
      </c>
      <c r="E583" s="88" t="s">
        <v>1614</v>
      </c>
      <c r="F583" s="5" t="s">
        <v>2468</v>
      </c>
    </row>
    <row r="584" spans="1:6" hidden="1">
      <c r="A584" s="88" t="s">
        <v>1617</v>
      </c>
      <c r="B584" s="88" t="s">
        <v>1616</v>
      </c>
      <c r="C584" s="88" t="s">
        <v>529</v>
      </c>
      <c r="D584" s="88" t="s">
        <v>344</v>
      </c>
      <c r="E584" s="88" t="s">
        <v>1616</v>
      </c>
      <c r="F584" s="5" t="s">
        <v>2469</v>
      </c>
    </row>
    <row r="585" spans="1:6" hidden="1">
      <c r="A585" s="88" t="s">
        <v>1619</v>
      </c>
      <c r="B585" s="88" t="s">
        <v>1618</v>
      </c>
      <c r="C585" s="88" t="s">
        <v>530</v>
      </c>
      <c r="D585" s="88" t="s">
        <v>348</v>
      </c>
      <c r="E585" s="88" t="s">
        <v>1618</v>
      </c>
      <c r="F585" s="5" t="s">
        <v>2470</v>
      </c>
    </row>
    <row r="586" spans="1:6" hidden="1">
      <c r="A586" s="88" t="s">
        <v>1621</v>
      </c>
      <c r="B586" s="88" t="s">
        <v>1620</v>
      </c>
      <c r="C586" s="88" t="s">
        <v>530</v>
      </c>
      <c r="D586" s="88" t="s">
        <v>344</v>
      </c>
      <c r="E586" s="88" t="s">
        <v>1620</v>
      </c>
      <c r="F586" s="5" t="s">
        <v>2471</v>
      </c>
    </row>
    <row r="587" spans="1:6" hidden="1">
      <c r="A587" s="88" t="s">
        <v>1623</v>
      </c>
      <c r="B587" s="88" t="s">
        <v>1622</v>
      </c>
      <c r="C587" s="88" t="s">
        <v>530</v>
      </c>
      <c r="D587" s="88" t="s">
        <v>344</v>
      </c>
      <c r="E587" s="88" t="s">
        <v>1622</v>
      </c>
      <c r="F587" s="5" t="s">
        <v>2472</v>
      </c>
    </row>
    <row r="588" spans="1:6" hidden="1">
      <c r="A588" s="88" t="s">
        <v>1625</v>
      </c>
      <c r="B588" s="88" t="s">
        <v>1624</v>
      </c>
      <c r="C588" s="88" t="s">
        <v>530</v>
      </c>
      <c r="D588" s="88" t="s">
        <v>344</v>
      </c>
      <c r="E588" s="88" t="s">
        <v>1624</v>
      </c>
      <c r="F588" s="5" t="s">
        <v>2473</v>
      </c>
    </row>
    <row r="589" spans="1:6" hidden="1">
      <c r="A589" s="88" t="s">
        <v>1573</v>
      </c>
      <c r="B589" s="88" t="s">
        <v>1572</v>
      </c>
      <c r="C589" s="88" t="s">
        <v>531</v>
      </c>
      <c r="D589" s="88" t="s">
        <v>348</v>
      </c>
      <c r="E589" s="88" t="s">
        <v>1572</v>
      </c>
      <c r="F589" s="5" t="s">
        <v>2445</v>
      </c>
    </row>
    <row r="590" spans="1:6" hidden="1">
      <c r="A590" s="88" t="s">
        <v>568</v>
      </c>
      <c r="B590" s="88" t="s">
        <v>567</v>
      </c>
      <c r="C590" s="88" t="s">
        <v>531</v>
      </c>
      <c r="D590" s="88" t="s">
        <v>344</v>
      </c>
      <c r="E590" s="88" t="s">
        <v>567</v>
      </c>
      <c r="F590" s="5" t="s">
        <v>2474</v>
      </c>
    </row>
    <row r="591" spans="1:6" hidden="1">
      <c r="A591" s="88" t="s">
        <v>1627</v>
      </c>
      <c r="B591" s="88" t="s">
        <v>1626</v>
      </c>
      <c r="C591" s="88" t="s">
        <v>532</v>
      </c>
      <c r="D591" s="88" t="s">
        <v>344</v>
      </c>
      <c r="E591" s="88" t="s">
        <v>1626</v>
      </c>
      <c r="F591" s="5" t="s">
        <v>2475</v>
      </c>
    </row>
    <row r="592" spans="1:6" hidden="1">
      <c r="A592" s="88" t="s">
        <v>1629</v>
      </c>
      <c r="B592" s="88" t="s">
        <v>1628</v>
      </c>
      <c r="C592" s="88" t="s">
        <v>533</v>
      </c>
      <c r="D592" s="88" t="s">
        <v>344</v>
      </c>
      <c r="E592" s="88" t="s">
        <v>1628</v>
      </c>
      <c r="F592" s="5" t="s">
        <v>2476</v>
      </c>
    </row>
    <row r="593" spans="1:6" hidden="1">
      <c r="A593" s="88" t="s">
        <v>1631</v>
      </c>
      <c r="B593" s="88" t="s">
        <v>1630</v>
      </c>
      <c r="C593" s="88" t="s">
        <v>534</v>
      </c>
      <c r="D593" s="88" t="s">
        <v>344</v>
      </c>
      <c r="E593" s="88" t="s">
        <v>1630</v>
      </c>
      <c r="F593" s="5" t="s">
        <v>2477</v>
      </c>
    </row>
    <row r="594" spans="1:6" hidden="1">
      <c r="A594" s="88" t="s">
        <v>570</v>
      </c>
      <c r="B594" s="88" t="s">
        <v>569</v>
      </c>
      <c r="C594" s="88" t="s">
        <v>534</v>
      </c>
      <c r="D594" s="88" t="s">
        <v>344</v>
      </c>
      <c r="E594" s="88" t="s">
        <v>569</v>
      </c>
      <c r="F594" s="5" t="s">
        <v>2478</v>
      </c>
    </row>
    <row r="595" spans="1:6" hidden="1">
      <c r="A595" s="88" t="s">
        <v>1488</v>
      </c>
      <c r="B595" s="88" t="s">
        <v>1487</v>
      </c>
      <c r="C595" s="88" t="s">
        <v>535</v>
      </c>
      <c r="D595" s="88" t="s">
        <v>344</v>
      </c>
      <c r="E595" s="88" t="s">
        <v>1487</v>
      </c>
      <c r="F595" s="5" t="s">
        <v>2401</v>
      </c>
    </row>
    <row r="596" spans="1:6" hidden="1">
      <c r="A596" s="88" t="s">
        <v>1633</v>
      </c>
      <c r="B596" s="88" t="s">
        <v>1632</v>
      </c>
      <c r="C596" s="88" t="s">
        <v>536</v>
      </c>
      <c r="D596" s="88" t="s">
        <v>478</v>
      </c>
      <c r="E596" s="88" t="s">
        <v>1632</v>
      </c>
      <c r="F596" s="5" t="s">
        <v>2479</v>
      </c>
    </row>
    <row r="597" spans="1:6" hidden="1">
      <c r="A597" s="88" t="s">
        <v>1635</v>
      </c>
      <c r="B597" s="88" t="s">
        <v>1634</v>
      </c>
      <c r="C597" s="88" t="s">
        <v>537</v>
      </c>
      <c r="D597" s="88" t="s">
        <v>481</v>
      </c>
      <c r="E597" s="88" t="s">
        <v>1634</v>
      </c>
      <c r="F597" s="5" t="s">
        <v>2480</v>
      </c>
    </row>
    <row r="598" spans="1:6" hidden="1">
      <c r="A598" s="88" t="s">
        <v>1637</v>
      </c>
      <c r="B598" s="88" t="s">
        <v>1636</v>
      </c>
      <c r="C598" s="88" t="s">
        <v>537</v>
      </c>
      <c r="D598" s="88" t="s">
        <v>538</v>
      </c>
      <c r="E598" s="88" t="s">
        <v>1636</v>
      </c>
      <c r="F598" s="5" t="s">
        <v>2481</v>
      </c>
    </row>
    <row r="599" spans="1:6" hidden="1">
      <c r="A599" s="88" t="s">
        <v>1639</v>
      </c>
      <c r="B599" s="88" t="s">
        <v>1638</v>
      </c>
      <c r="C599" s="88" t="s">
        <v>537</v>
      </c>
      <c r="D599" s="88" t="s">
        <v>344</v>
      </c>
      <c r="E599" s="88" t="s">
        <v>1638</v>
      </c>
      <c r="F599" s="5" t="s">
        <v>2482</v>
      </c>
    </row>
    <row r="600" spans="1:6" hidden="1">
      <c r="A600" s="88" t="s">
        <v>1641</v>
      </c>
      <c r="B600" s="88" t="s">
        <v>1640</v>
      </c>
      <c r="C600" s="88" t="s">
        <v>537</v>
      </c>
      <c r="D600" s="88" t="s">
        <v>344</v>
      </c>
      <c r="E600" s="88" t="s">
        <v>1640</v>
      </c>
      <c r="F600" s="5" t="s">
        <v>2483</v>
      </c>
    </row>
    <row r="601" spans="1:6" hidden="1">
      <c r="A601" s="88" t="s">
        <v>1643</v>
      </c>
      <c r="B601" s="88" t="s">
        <v>1642</v>
      </c>
      <c r="C601" s="88" t="s">
        <v>537</v>
      </c>
      <c r="D601" s="88" t="s">
        <v>344</v>
      </c>
      <c r="E601" s="88" t="s">
        <v>1642</v>
      </c>
      <c r="F601" s="5" t="s">
        <v>2484</v>
      </c>
    </row>
    <row r="602" spans="1:6" hidden="1">
      <c r="A602" s="88" t="s">
        <v>1645</v>
      </c>
      <c r="B602" s="88" t="s">
        <v>1644</v>
      </c>
      <c r="C602" s="88" t="s">
        <v>537</v>
      </c>
      <c r="D602" s="88" t="s">
        <v>344</v>
      </c>
      <c r="E602" s="88" t="s">
        <v>1644</v>
      </c>
      <c r="F602" s="5" t="s">
        <v>2485</v>
      </c>
    </row>
    <row r="603" spans="1:6" hidden="1">
      <c r="A603" s="88" t="s">
        <v>1647</v>
      </c>
      <c r="B603" s="88" t="s">
        <v>1646</v>
      </c>
      <c r="C603" s="88" t="s">
        <v>537</v>
      </c>
      <c r="D603" s="88" t="s">
        <v>344</v>
      </c>
      <c r="E603" s="88" t="s">
        <v>1646</v>
      </c>
      <c r="F603" s="5" t="s">
        <v>2486</v>
      </c>
    </row>
    <row r="604" spans="1:6" hidden="1">
      <c r="A604" s="88" t="s">
        <v>1649</v>
      </c>
      <c r="B604" s="88" t="s">
        <v>1648</v>
      </c>
      <c r="C604" s="88" t="s">
        <v>539</v>
      </c>
      <c r="D604" s="88" t="s">
        <v>344</v>
      </c>
      <c r="E604" s="88" t="s">
        <v>1648</v>
      </c>
      <c r="F604" s="5" t="s">
        <v>2487</v>
      </c>
    </row>
    <row r="605" spans="1:6" hidden="1">
      <c r="A605" s="88" t="s">
        <v>1577</v>
      </c>
      <c r="B605" s="88" t="s">
        <v>1576</v>
      </c>
      <c r="C605" s="88" t="s">
        <v>540</v>
      </c>
      <c r="D605" s="88" t="s">
        <v>538</v>
      </c>
      <c r="E605" s="88" t="s">
        <v>1576</v>
      </c>
      <c r="F605" s="5" t="s">
        <v>2448</v>
      </c>
    </row>
    <row r="606" spans="1:6" hidden="1">
      <c r="A606" s="88" t="s">
        <v>123</v>
      </c>
      <c r="B606" s="88" t="s">
        <v>1650</v>
      </c>
      <c r="C606" s="88" t="s">
        <v>541</v>
      </c>
      <c r="D606" s="88" t="s">
        <v>481</v>
      </c>
      <c r="E606" s="88" t="s">
        <v>1650</v>
      </c>
      <c r="F606" s="5" t="s">
        <v>2488</v>
      </c>
    </row>
    <row r="607" spans="1:6" hidden="1">
      <c r="A607" s="88" t="s">
        <v>1652</v>
      </c>
      <c r="B607" s="88" t="s">
        <v>1651</v>
      </c>
      <c r="C607" s="88" t="s">
        <v>541</v>
      </c>
      <c r="D607" s="88" t="s">
        <v>347</v>
      </c>
      <c r="E607" s="88" t="s">
        <v>1651</v>
      </c>
      <c r="F607" s="5" t="s">
        <v>2489</v>
      </c>
    </row>
    <row r="608" spans="1:6" hidden="1">
      <c r="A608" s="88" t="s">
        <v>1654</v>
      </c>
      <c r="B608" s="88" t="s">
        <v>1653</v>
      </c>
      <c r="C608" s="88" t="s">
        <v>541</v>
      </c>
      <c r="D608" s="88" t="s">
        <v>344</v>
      </c>
      <c r="E608" s="88" t="s">
        <v>1653</v>
      </c>
      <c r="F608" s="5" t="s">
        <v>2490</v>
      </c>
    </row>
    <row r="609" spans="1:6" hidden="1">
      <c r="A609" s="88" t="s">
        <v>1656</v>
      </c>
      <c r="B609" s="88" t="s">
        <v>1655</v>
      </c>
      <c r="C609" s="88" t="s">
        <v>541</v>
      </c>
      <c r="D609" s="88" t="s">
        <v>344</v>
      </c>
      <c r="E609" s="88" t="s">
        <v>1655</v>
      </c>
      <c r="F609" s="5" t="s">
        <v>2491</v>
      </c>
    </row>
    <row r="610" spans="1:6" hidden="1">
      <c r="A610" s="88" t="s">
        <v>1658</v>
      </c>
      <c r="B610" s="88" t="s">
        <v>1657</v>
      </c>
      <c r="C610" s="88" t="s">
        <v>541</v>
      </c>
      <c r="D610" s="88" t="s">
        <v>344</v>
      </c>
      <c r="E610" s="88" t="s">
        <v>1657</v>
      </c>
      <c r="F610" s="5" t="s">
        <v>2492</v>
      </c>
    </row>
    <row r="611" spans="1:6" hidden="1">
      <c r="A611" s="88" t="s">
        <v>1660</v>
      </c>
      <c r="B611" s="88" t="s">
        <v>1659</v>
      </c>
      <c r="C611" s="88" t="s">
        <v>541</v>
      </c>
      <c r="D611" s="88" t="s">
        <v>344</v>
      </c>
      <c r="E611" s="88" t="s">
        <v>1659</v>
      </c>
      <c r="F611" s="5" t="s">
        <v>2493</v>
      </c>
    </row>
    <row r="612" spans="1:6" hidden="1">
      <c r="A612" s="88" t="s">
        <v>1662</v>
      </c>
      <c r="B612" s="88" t="s">
        <v>1661</v>
      </c>
      <c r="C612" s="88" t="s">
        <v>541</v>
      </c>
      <c r="D612" s="88" t="s">
        <v>344</v>
      </c>
      <c r="E612" s="88" t="s">
        <v>1661</v>
      </c>
      <c r="F612" s="5" t="s">
        <v>2494</v>
      </c>
    </row>
    <row r="613" spans="1:6" hidden="1">
      <c r="A613" s="88" t="s">
        <v>1664</v>
      </c>
      <c r="B613" s="88" t="s">
        <v>1663</v>
      </c>
      <c r="C613" s="88" t="s">
        <v>541</v>
      </c>
      <c r="D613" s="88" t="s">
        <v>344</v>
      </c>
      <c r="E613" s="88" t="s">
        <v>1663</v>
      </c>
      <c r="F613" s="5" t="s">
        <v>2495</v>
      </c>
    </row>
    <row r="614" spans="1:6" hidden="1">
      <c r="A614" s="88" t="s">
        <v>1666</v>
      </c>
      <c r="B614" s="88" t="s">
        <v>1665</v>
      </c>
      <c r="C614" s="88" t="s">
        <v>541</v>
      </c>
      <c r="D614" s="88" t="s">
        <v>344</v>
      </c>
      <c r="E614" s="88" t="s">
        <v>1665</v>
      </c>
      <c r="F614" s="5" t="s">
        <v>2496</v>
      </c>
    </row>
    <row r="615" spans="1:6" hidden="1">
      <c r="A615" s="88" t="s">
        <v>1668</v>
      </c>
      <c r="B615" s="88" t="s">
        <v>1667</v>
      </c>
      <c r="C615" s="88" t="s">
        <v>541</v>
      </c>
      <c r="D615" s="88" t="s">
        <v>344</v>
      </c>
      <c r="E615" s="88" t="s">
        <v>1667</v>
      </c>
      <c r="F615" s="5" t="s">
        <v>2497</v>
      </c>
    </row>
    <row r="616" spans="1:6" hidden="1">
      <c r="A616" s="88" t="s">
        <v>1670</v>
      </c>
      <c r="B616" s="88" t="s">
        <v>1669</v>
      </c>
      <c r="C616" s="88" t="s">
        <v>541</v>
      </c>
      <c r="D616" s="88" t="s">
        <v>344</v>
      </c>
      <c r="E616" s="88" t="s">
        <v>1669</v>
      </c>
      <c r="F616" s="5" t="s">
        <v>2498</v>
      </c>
    </row>
    <row r="617" spans="1:6" hidden="1">
      <c r="A617" s="88" t="s">
        <v>1672</v>
      </c>
      <c r="B617" s="88" t="s">
        <v>1671</v>
      </c>
      <c r="C617" s="88" t="s">
        <v>541</v>
      </c>
      <c r="D617" s="88" t="s">
        <v>344</v>
      </c>
      <c r="E617" s="88" t="s">
        <v>1671</v>
      </c>
      <c r="F617" s="5" t="s">
        <v>2499</v>
      </c>
    </row>
    <row r="618" spans="1:6" hidden="1">
      <c r="A618" s="88" t="s">
        <v>1674</v>
      </c>
      <c r="B618" s="88" t="s">
        <v>1673</v>
      </c>
      <c r="C618" s="88" t="s">
        <v>541</v>
      </c>
      <c r="D618" s="88" t="s">
        <v>344</v>
      </c>
      <c r="E618" s="88" t="s">
        <v>1673</v>
      </c>
      <c r="F618" s="5" t="s">
        <v>2500</v>
      </c>
    </row>
    <row r="619" spans="1:6" hidden="1">
      <c r="A619" s="88" t="s">
        <v>1676</v>
      </c>
      <c r="B619" s="88" t="s">
        <v>1675</v>
      </c>
      <c r="C619" s="88" t="s">
        <v>541</v>
      </c>
      <c r="D619" s="88" t="s">
        <v>344</v>
      </c>
      <c r="E619" s="88" t="s">
        <v>1675</v>
      </c>
      <c r="F619" s="5" t="s">
        <v>2501</v>
      </c>
    </row>
    <row r="620" spans="1:6" hidden="1">
      <c r="A620" s="88" t="s">
        <v>1678</v>
      </c>
      <c r="B620" s="88" t="s">
        <v>1677</v>
      </c>
      <c r="C620" s="88" t="s">
        <v>541</v>
      </c>
      <c r="D620" s="88" t="s">
        <v>344</v>
      </c>
      <c r="E620" s="88" t="s">
        <v>1677</v>
      </c>
      <c r="F620" s="5" t="s">
        <v>2502</v>
      </c>
    </row>
    <row r="621" spans="1:6" hidden="1">
      <c r="A621" s="88" t="s">
        <v>1680</v>
      </c>
      <c r="B621" s="88" t="s">
        <v>1679</v>
      </c>
      <c r="C621" s="88" t="s">
        <v>542</v>
      </c>
      <c r="D621" s="88" t="s">
        <v>538</v>
      </c>
      <c r="E621" s="88" t="s">
        <v>1679</v>
      </c>
      <c r="F621" s="5" t="s">
        <v>2503</v>
      </c>
    </row>
    <row r="622" spans="1:6" hidden="1">
      <c r="A622" s="88" t="s">
        <v>1682</v>
      </c>
      <c r="B622" s="88" t="s">
        <v>1681</v>
      </c>
      <c r="C622" s="88" t="s">
        <v>543</v>
      </c>
      <c r="D622" s="88" t="s">
        <v>346</v>
      </c>
      <c r="E622" s="88" t="s">
        <v>1681</v>
      </c>
      <c r="F622" s="5" t="s">
        <v>2504</v>
      </c>
    </row>
    <row r="623" spans="1:6" hidden="1">
      <c r="A623" s="88" t="s">
        <v>1684</v>
      </c>
      <c r="B623" s="88" t="s">
        <v>1683</v>
      </c>
      <c r="C623" s="88" t="s">
        <v>544</v>
      </c>
      <c r="D623" s="88" t="s">
        <v>344</v>
      </c>
      <c r="E623" s="88" t="s">
        <v>1683</v>
      </c>
      <c r="F623" s="5" t="s">
        <v>2505</v>
      </c>
    </row>
    <row r="624" spans="1:6" hidden="1">
      <c r="A624" s="88" t="s">
        <v>1533</v>
      </c>
      <c r="B624" s="88" t="s">
        <v>1532</v>
      </c>
      <c r="C624" s="88" t="s">
        <v>545</v>
      </c>
      <c r="D624" s="88" t="s">
        <v>344</v>
      </c>
      <c r="E624" s="88" t="s">
        <v>1532</v>
      </c>
      <c r="F624" s="5" t="s">
        <v>2425</v>
      </c>
    </row>
    <row r="625" spans="1:6" hidden="1">
      <c r="A625" s="88" t="s">
        <v>1686</v>
      </c>
      <c r="B625" s="88" t="s">
        <v>1685</v>
      </c>
      <c r="C625" s="88" t="s">
        <v>546</v>
      </c>
      <c r="D625" s="88" t="s">
        <v>344</v>
      </c>
      <c r="E625" s="88" t="s">
        <v>1685</v>
      </c>
      <c r="F625" s="5" t="s">
        <v>2506</v>
      </c>
    </row>
    <row r="626" spans="1:6" hidden="1">
      <c r="A626" s="88" t="s">
        <v>1688</v>
      </c>
      <c r="B626" s="88" t="s">
        <v>1687</v>
      </c>
      <c r="C626" s="88" t="s">
        <v>546</v>
      </c>
      <c r="D626" s="88" t="s">
        <v>344</v>
      </c>
      <c r="E626" s="88" t="s">
        <v>1687</v>
      </c>
      <c r="F626" s="5" t="s">
        <v>2507</v>
      </c>
    </row>
    <row r="627" spans="1:6" hidden="1">
      <c r="A627" s="88" t="s">
        <v>572</v>
      </c>
      <c r="B627" s="88" t="s">
        <v>571</v>
      </c>
      <c r="C627" s="88" t="s">
        <v>547</v>
      </c>
      <c r="D627" s="88" t="s">
        <v>478</v>
      </c>
      <c r="E627" s="88" t="s">
        <v>571</v>
      </c>
      <c r="F627" s="5" t="s">
        <v>2508</v>
      </c>
    </row>
    <row r="628" spans="1:6" hidden="1">
      <c r="A628" s="88" t="s">
        <v>1690</v>
      </c>
      <c r="B628" s="88" t="s">
        <v>1689</v>
      </c>
      <c r="C628" s="88" t="s">
        <v>548</v>
      </c>
      <c r="D628" s="88" t="s">
        <v>344</v>
      </c>
      <c r="E628" s="88" t="s">
        <v>1689</v>
      </c>
      <c r="F628" s="5" t="s">
        <v>2509</v>
      </c>
    </row>
    <row r="629" spans="1:6" hidden="1">
      <c r="A629" s="88" t="s">
        <v>1692</v>
      </c>
      <c r="B629" s="88" t="s">
        <v>1691</v>
      </c>
      <c r="C629" s="88" t="s">
        <v>548</v>
      </c>
      <c r="D629" s="88" t="s">
        <v>344</v>
      </c>
      <c r="E629" s="88" t="s">
        <v>1691</v>
      </c>
      <c r="F629" s="5" t="s">
        <v>2510</v>
      </c>
    </row>
    <row r="630" spans="1:6" hidden="1">
      <c r="A630" s="88" t="s">
        <v>1694</v>
      </c>
      <c r="B630" s="88" t="s">
        <v>1693</v>
      </c>
      <c r="C630" s="88" t="s">
        <v>549</v>
      </c>
      <c r="D630" s="88" t="s">
        <v>346</v>
      </c>
      <c r="E630" s="88" t="s">
        <v>1693</v>
      </c>
      <c r="F630" s="5" t="s">
        <v>2511</v>
      </c>
    </row>
    <row r="631" spans="1:6" hidden="1">
      <c r="A631" s="88" t="s">
        <v>1696</v>
      </c>
      <c r="B631" s="88" t="s">
        <v>1695</v>
      </c>
      <c r="C631" s="88" t="s">
        <v>549</v>
      </c>
      <c r="D631" s="88" t="s">
        <v>344</v>
      </c>
      <c r="E631" s="88" t="s">
        <v>1695</v>
      </c>
      <c r="F631" s="5" t="s">
        <v>2512</v>
      </c>
    </row>
    <row r="632" spans="1:6" hidden="1">
      <c r="A632" s="88" t="s">
        <v>1698</v>
      </c>
      <c r="B632" s="88" t="s">
        <v>1697</v>
      </c>
      <c r="C632" s="88" t="s">
        <v>549</v>
      </c>
      <c r="D632" s="88" t="s">
        <v>344</v>
      </c>
      <c r="E632" s="88" t="s">
        <v>1697</v>
      </c>
      <c r="F632" s="5" t="s">
        <v>2513</v>
      </c>
    </row>
    <row r="633" spans="1:6" hidden="1">
      <c r="A633" s="88" t="s">
        <v>1700</v>
      </c>
      <c r="B633" s="88" t="s">
        <v>1699</v>
      </c>
      <c r="C633" s="88" t="s">
        <v>549</v>
      </c>
      <c r="D633" s="88" t="s">
        <v>344</v>
      </c>
      <c r="E633" s="88" t="s">
        <v>1699</v>
      </c>
      <c r="F633" s="5" t="s">
        <v>2514</v>
      </c>
    </row>
    <row r="634" spans="1:6" hidden="1">
      <c r="A634" s="88" t="s">
        <v>1702</v>
      </c>
      <c r="B634" s="88" t="s">
        <v>1701</v>
      </c>
      <c r="C634" s="88" t="s">
        <v>549</v>
      </c>
      <c r="D634" s="88" t="s">
        <v>344</v>
      </c>
      <c r="E634" s="88" t="s">
        <v>1701</v>
      </c>
      <c r="F634" s="5" t="s">
        <v>2515</v>
      </c>
    </row>
    <row r="635" spans="1:6" hidden="1">
      <c r="A635" s="88" t="s">
        <v>651</v>
      </c>
      <c r="B635" s="88" t="s">
        <v>650</v>
      </c>
      <c r="C635" s="88" t="s">
        <v>549</v>
      </c>
      <c r="D635" s="88" t="s">
        <v>344</v>
      </c>
      <c r="E635" s="88" t="s">
        <v>650</v>
      </c>
      <c r="F635" s="5" t="s">
        <v>2516</v>
      </c>
    </row>
    <row r="636" spans="1:6" hidden="1">
      <c r="A636" s="89" t="s">
        <v>1573</v>
      </c>
      <c r="B636" s="89" t="s">
        <v>1572</v>
      </c>
      <c r="C636" s="91" t="s">
        <v>550</v>
      </c>
      <c r="D636" s="89" t="s">
        <v>344</v>
      </c>
      <c r="E636" s="89" t="s">
        <v>1572</v>
      </c>
      <c r="F636" s="5" t="s">
        <v>2445</v>
      </c>
    </row>
    <row r="637" spans="1:6" hidden="1">
      <c r="A637" s="88" t="s">
        <v>1704</v>
      </c>
      <c r="B637" s="88" t="s">
        <v>1703</v>
      </c>
      <c r="C637" s="88" t="s">
        <v>551</v>
      </c>
      <c r="D637" s="88" t="s">
        <v>347</v>
      </c>
      <c r="E637" s="88" t="s">
        <v>1703</v>
      </c>
      <c r="F637" s="5" t="s">
        <v>2517</v>
      </c>
    </row>
    <row r="638" spans="1:6" hidden="1">
      <c r="A638" s="88" t="s">
        <v>1706</v>
      </c>
      <c r="B638" s="88" t="s">
        <v>1705</v>
      </c>
      <c r="C638" s="88" t="s">
        <v>551</v>
      </c>
      <c r="D638" s="88" t="s">
        <v>344</v>
      </c>
      <c r="E638" s="88" t="s">
        <v>1705</v>
      </c>
      <c r="F638" s="5" t="s">
        <v>2518</v>
      </c>
    </row>
    <row r="639" spans="1:6" hidden="1">
      <c r="A639" s="88" t="s">
        <v>1708</v>
      </c>
      <c r="B639" s="88" t="s">
        <v>1707</v>
      </c>
      <c r="C639" s="88" t="s">
        <v>551</v>
      </c>
      <c r="D639" s="88" t="s">
        <v>344</v>
      </c>
      <c r="E639" s="88" t="s">
        <v>1707</v>
      </c>
      <c r="F639" s="5" t="s">
        <v>2519</v>
      </c>
    </row>
    <row r="640" spans="1:6" hidden="1">
      <c r="A640" s="88" t="s">
        <v>1710</v>
      </c>
      <c r="B640" s="88" t="s">
        <v>1709</v>
      </c>
      <c r="C640" s="88" t="s">
        <v>551</v>
      </c>
      <c r="D640" s="88" t="s">
        <v>344</v>
      </c>
      <c r="E640" s="88" t="s">
        <v>1709</v>
      </c>
      <c r="F640" s="5" t="s">
        <v>2520</v>
      </c>
    </row>
    <row r="641" spans="1:6" hidden="1">
      <c r="A641" s="88" t="s">
        <v>1712</v>
      </c>
      <c r="B641" s="88" t="s">
        <v>1711</v>
      </c>
      <c r="C641" s="88" t="s">
        <v>551</v>
      </c>
      <c r="D641" s="88" t="s">
        <v>344</v>
      </c>
      <c r="E641" s="88" t="s">
        <v>1711</v>
      </c>
      <c r="F641" s="5" t="s">
        <v>2521</v>
      </c>
    </row>
    <row r="642" spans="1:6" hidden="1">
      <c r="A642" s="88" t="s">
        <v>1714</v>
      </c>
      <c r="B642" s="88" t="s">
        <v>1713</v>
      </c>
      <c r="C642" s="88" t="s">
        <v>552</v>
      </c>
      <c r="D642" s="88" t="s">
        <v>344</v>
      </c>
      <c r="E642" s="88" t="s">
        <v>1713</v>
      </c>
      <c r="F642" s="5" t="s">
        <v>2522</v>
      </c>
    </row>
    <row r="643" spans="1:6" hidden="1">
      <c r="A643" s="88" t="s">
        <v>1716</v>
      </c>
      <c r="B643" s="88" t="s">
        <v>1715</v>
      </c>
      <c r="C643" s="88" t="s">
        <v>552</v>
      </c>
      <c r="D643" s="88" t="s">
        <v>344</v>
      </c>
      <c r="E643" s="88" t="s">
        <v>1715</v>
      </c>
      <c r="F643" s="5" t="s">
        <v>2523</v>
      </c>
    </row>
    <row r="644" spans="1:6" hidden="1">
      <c r="A644" s="88" t="s">
        <v>1718</v>
      </c>
      <c r="B644" s="88" t="s">
        <v>1717</v>
      </c>
      <c r="C644" s="88" t="s">
        <v>552</v>
      </c>
      <c r="D644" s="88" t="s">
        <v>344</v>
      </c>
      <c r="E644" s="88" t="s">
        <v>1717</v>
      </c>
      <c r="F644" s="5" t="s">
        <v>2524</v>
      </c>
    </row>
    <row r="645" spans="1:6" hidden="1">
      <c r="A645" s="88" t="s">
        <v>1720</v>
      </c>
      <c r="B645" s="88" t="s">
        <v>1719</v>
      </c>
      <c r="C645" s="88" t="s">
        <v>552</v>
      </c>
      <c r="D645" s="88" t="s">
        <v>344</v>
      </c>
      <c r="E645" s="88" t="s">
        <v>1719</v>
      </c>
      <c r="F645" s="5" t="s">
        <v>2525</v>
      </c>
    </row>
    <row r="646" spans="1:6" hidden="1">
      <c r="A646" s="88" t="s">
        <v>1692</v>
      </c>
      <c r="B646" s="88" t="s">
        <v>1691</v>
      </c>
      <c r="C646" s="88" t="s">
        <v>552</v>
      </c>
      <c r="D646" s="88" t="s">
        <v>344</v>
      </c>
      <c r="E646" s="88" t="s">
        <v>1691</v>
      </c>
      <c r="F646" s="5" t="s">
        <v>2510</v>
      </c>
    </row>
    <row r="647" spans="1:6" hidden="1">
      <c r="A647" s="88" t="s">
        <v>1722</v>
      </c>
      <c r="B647" s="88" t="s">
        <v>1721</v>
      </c>
      <c r="C647" s="88" t="s">
        <v>553</v>
      </c>
      <c r="D647" s="88" t="s">
        <v>420</v>
      </c>
      <c r="E647" s="88" t="s">
        <v>1721</v>
      </c>
      <c r="F647" s="5" t="s">
        <v>2526</v>
      </c>
    </row>
    <row r="648" spans="1:6" hidden="1">
      <c r="A648" s="88" t="s">
        <v>1724</v>
      </c>
      <c r="B648" s="88" t="s">
        <v>1723</v>
      </c>
      <c r="C648" s="88" t="s">
        <v>553</v>
      </c>
      <c r="D648" s="88" t="s">
        <v>347</v>
      </c>
      <c r="E648" s="88" t="s">
        <v>1723</v>
      </c>
      <c r="F648" s="5" t="s">
        <v>2527</v>
      </c>
    </row>
    <row r="649" spans="1:6" hidden="1">
      <c r="A649" s="88" t="s">
        <v>1726</v>
      </c>
      <c r="B649" s="88" t="s">
        <v>1725</v>
      </c>
      <c r="C649" s="88" t="s">
        <v>553</v>
      </c>
      <c r="D649" s="88" t="s">
        <v>344</v>
      </c>
      <c r="E649" s="88" t="s">
        <v>1725</v>
      </c>
      <c r="F649" s="5" t="s">
        <v>2528</v>
      </c>
    </row>
    <row r="650" spans="1:6" hidden="1">
      <c r="A650" s="88" t="s">
        <v>1728</v>
      </c>
      <c r="B650" s="88" t="s">
        <v>1727</v>
      </c>
      <c r="C650" s="88" t="s">
        <v>554</v>
      </c>
      <c r="D650" s="88" t="s">
        <v>346</v>
      </c>
      <c r="E650" s="88" t="s">
        <v>1727</v>
      </c>
      <c r="F650" s="5" t="s">
        <v>2529</v>
      </c>
    </row>
    <row r="651" spans="1:6" hidden="1">
      <c r="A651" s="88" t="s">
        <v>1730</v>
      </c>
      <c r="B651" s="88" t="s">
        <v>1729</v>
      </c>
      <c r="C651" s="88" t="s">
        <v>554</v>
      </c>
      <c r="D651" s="88" t="s">
        <v>344</v>
      </c>
      <c r="E651" s="88" t="s">
        <v>1729</v>
      </c>
      <c r="F651" s="5" t="s">
        <v>2530</v>
      </c>
    </row>
    <row r="652" spans="1:6" hidden="1">
      <c r="A652" s="88" t="s">
        <v>1732</v>
      </c>
      <c r="B652" s="88" t="s">
        <v>1731</v>
      </c>
      <c r="C652" s="88" t="s">
        <v>554</v>
      </c>
      <c r="D652" s="88" t="s">
        <v>344</v>
      </c>
      <c r="E652" s="88" t="s">
        <v>1731</v>
      </c>
      <c r="F652" s="5" t="s">
        <v>2531</v>
      </c>
    </row>
    <row r="653" spans="1:6" hidden="1">
      <c r="A653" s="88" t="s">
        <v>1734</v>
      </c>
      <c r="B653" s="88" t="s">
        <v>1733</v>
      </c>
      <c r="C653" s="88" t="s">
        <v>554</v>
      </c>
      <c r="D653" s="88" t="s">
        <v>344</v>
      </c>
      <c r="E653" s="88" t="s">
        <v>1733</v>
      </c>
      <c r="F653" s="5" t="s">
        <v>2532</v>
      </c>
    </row>
    <row r="654" spans="1:6" hidden="1">
      <c r="A654" s="88" t="s">
        <v>1736</v>
      </c>
      <c r="B654" s="88" t="s">
        <v>1735</v>
      </c>
      <c r="C654" s="88" t="s">
        <v>554</v>
      </c>
      <c r="D654" s="88" t="s">
        <v>344</v>
      </c>
      <c r="E654" s="88" t="s">
        <v>1735</v>
      </c>
      <c r="F654" s="5" t="s">
        <v>2533</v>
      </c>
    </row>
    <row r="655" spans="1:6" hidden="1">
      <c r="A655" s="88" t="s">
        <v>1738</v>
      </c>
      <c r="B655" s="88" t="s">
        <v>1737</v>
      </c>
      <c r="C655" s="88" t="s">
        <v>555</v>
      </c>
      <c r="D655" s="88" t="s">
        <v>344</v>
      </c>
      <c r="E655" s="88" t="s">
        <v>1737</v>
      </c>
      <c r="F655" s="5" t="s">
        <v>2534</v>
      </c>
    </row>
    <row r="656" spans="1:6" hidden="1">
      <c r="A656" s="88" t="s">
        <v>1740</v>
      </c>
      <c r="B656" s="88" t="s">
        <v>1739</v>
      </c>
      <c r="C656" s="88" t="s">
        <v>555</v>
      </c>
      <c r="D656" s="88" t="s">
        <v>344</v>
      </c>
      <c r="E656" s="88" t="s">
        <v>1739</v>
      </c>
      <c r="F656" s="5" t="s">
        <v>2535</v>
      </c>
    </row>
    <row r="657" spans="1:6" hidden="1">
      <c r="A657" s="88" t="s">
        <v>1742</v>
      </c>
      <c r="B657" s="88" t="s">
        <v>1741</v>
      </c>
      <c r="C657" s="88" t="s">
        <v>556</v>
      </c>
      <c r="D657" s="88" t="s">
        <v>344</v>
      </c>
      <c r="E657" s="88" t="s">
        <v>1741</v>
      </c>
      <c r="F657" s="5" t="s">
        <v>2536</v>
      </c>
    </row>
    <row r="658" spans="1:6" hidden="1">
      <c r="A658" s="88" t="s">
        <v>1744</v>
      </c>
      <c r="B658" s="88" t="s">
        <v>1743</v>
      </c>
      <c r="C658" s="88" t="s">
        <v>557</v>
      </c>
      <c r="D658" s="88" t="s">
        <v>420</v>
      </c>
      <c r="E658" s="88" t="s">
        <v>1743</v>
      </c>
      <c r="F658" s="5" t="s">
        <v>2537</v>
      </c>
    </row>
    <row r="659" spans="1:6" hidden="1">
      <c r="A659" s="88" t="s">
        <v>1746</v>
      </c>
      <c r="B659" s="88" t="s">
        <v>1745</v>
      </c>
      <c r="C659" s="88" t="s">
        <v>557</v>
      </c>
      <c r="D659" s="88" t="s">
        <v>344</v>
      </c>
      <c r="E659" s="88" t="s">
        <v>1745</v>
      </c>
      <c r="F659" s="5" t="s">
        <v>2538</v>
      </c>
    </row>
    <row r="660" spans="1:6" hidden="1">
      <c r="A660" s="88" t="s">
        <v>1748</v>
      </c>
      <c r="B660" s="88" t="s">
        <v>1747</v>
      </c>
      <c r="C660" s="88" t="s">
        <v>557</v>
      </c>
      <c r="D660" s="88" t="s">
        <v>344</v>
      </c>
      <c r="E660" s="88" t="s">
        <v>1747</v>
      </c>
      <c r="F660" s="5" t="s">
        <v>2539</v>
      </c>
    </row>
    <row r="661" spans="1:6" hidden="1">
      <c r="A661" s="88" t="s">
        <v>1750</v>
      </c>
      <c r="B661" s="88" t="s">
        <v>1749</v>
      </c>
      <c r="C661" s="88" t="s">
        <v>557</v>
      </c>
      <c r="D661" s="88" t="s">
        <v>344</v>
      </c>
      <c r="E661" s="88" t="s">
        <v>1749</v>
      </c>
      <c r="F661" s="5" t="s">
        <v>2540</v>
      </c>
    </row>
    <row r="662" spans="1:6" hidden="1">
      <c r="A662" s="88" t="s">
        <v>1752</v>
      </c>
      <c r="B662" s="88" t="s">
        <v>1751</v>
      </c>
      <c r="C662" s="88" t="s">
        <v>558</v>
      </c>
      <c r="D662" s="88" t="s">
        <v>346</v>
      </c>
      <c r="E662" s="88" t="s">
        <v>1751</v>
      </c>
      <c r="F662" s="5" t="s">
        <v>2541</v>
      </c>
    </row>
    <row r="663" spans="1:6" hidden="1">
      <c r="A663" s="88" t="s">
        <v>1754</v>
      </c>
      <c r="B663" s="88" t="s">
        <v>1753</v>
      </c>
      <c r="C663" s="88" t="s">
        <v>558</v>
      </c>
      <c r="D663" s="88" t="s">
        <v>344</v>
      </c>
      <c r="E663" s="88" t="s">
        <v>1753</v>
      </c>
      <c r="F663" s="5" t="s">
        <v>2542</v>
      </c>
    </row>
    <row r="664" spans="1:6" hidden="1">
      <c r="A664" s="88" t="s">
        <v>1756</v>
      </c>
      <c r="B664" s="88" t="s">
        <v>1755</v>
      </c>
      <c r="C664" s="88" t="s">
        <v>559</v>
      </c>
      <c r="D664" s="88" t="s">
        <v>344</v>
      </c>
      <c r="E664" s="88" t="s">
        <v>1755</v>
      </c>
      <c r="F664" s="5" t="s">
        <v>2543</v>
      </c>
    </row>
    <row r="665" spans="1:6" hidden="1">
      <c r="A665" s="88" t="s">
        <v>1758</v>
      </c>
      <c r="B665" s="88" t="s">
        <v>1757</v>
      </c>
      <c r="C665" s="88" t="s">
        <v>559</v>
      </c>
      <c r="D665" s="88" t="s">
        <v>344</v>
      </c>
      <c r="E665" s="88" t="s">
        <v>1757</v>
      </c>
      <c r="F665" s="5" t="s">
        <v>2544</v>
      </c>
    </row>
    <row r="666" spans="1:6" hidden="1">
      <c r="A666" s="88" t="s">
        <v>1760</v>
      </c>
      <c r="B666" s="88" t="s">
        <v>1759</v>
      </c>
      <c r="C666" s="88" t="s">
        <v>559</v>
      </c>
      <c r="D666" s="88" t="s">
        <v>344</v>
      </c>
      <c r="E666" s="88" t="s">
        <v>1759</v>
      </c>
      <c r="F666" s="5" t="s">
        <v>2545</v>
      </c>
    </row>
    <row r="667" spans="1:6" hidden="1">
      <c r="A667" s="88" t="s">
        <v>1762</v>
      </c>
      <c r="B667" s="88" t="s">
        <v>1761</v>
      </c>
      <c r="C667" s="88" t="s">
        <v>559</v>
      </c>
      <c r="D667" s="88" t="s">
        <v>344</v>
      </c>
      <c r="E667" s="88" t="s">
        <v>1761</v>
      </c>
      <c r="F667" s="5" t="s">
        <v>2546</v>
      </c>
    </row>
    <row r="668" spans="1:6" hidden="1">
      <c r="A668" s="88" t="s">
        <v>1690</v>
      </c>
      <c r="B668" s="88" t="s">
        <v>1689</v>
      </c>
      <c r="C668" s="88" t="s">
        <v>559</v>
      </c>
      <c r="D668" s="88" t="s">
        <v>344</v>
      </c>
      <c r="E668" s="88" t="s">
        <v>1689</v>
      </c>
      <c r="F668" s="5" t="s">
        <v>2509</v>
      </c>
    </row>
    <row r="669" spans="1:6" hidden="1">
      <c r="A669" s="88" t="s">
        <v>1764</v>
      </c>
      <c r="B669" s="88" t="s">
        <v>1763</v>
      </c>
      <c r="C669" s="88" t="s">
        <v>560</v>
      </c>
      <c r="D669" s="88" t="s">
        <v>346</v>
      </c>
      <c r="E669" s="88" t="s">
        <v>1763</v>
      </c>
      <c r="F669" s="5" t="s">
        <v>2547</v>
      </c>
    </row>
    <row r="670" spans="1:6" hidden="1">
      <c r="A670" s="88" t="s">
        <v>1764</v>
      </c>
      <c r="B670" s="88" t="s">
        <v>1763</v>
      </c>
      <c r="C670" s="88" t="s">
        <v>561</v>
      </c>
      <c r="D670" s="88" t="s">
        <v>348</v>
      </c>
      <c r="E670" s="88" t="s">
        <v>1763</v>
      </c>
      <c r="F670" s="5" t="s">
        <v>2547</v>
      </c>
    </row>
    <row r="671" spans="1:6" hidden="1">
      <c r="A671" s="88" t="s">
        <v>1766</v>
      </c>
      <c r="B671" s="88" t="s">
        <v>1765</v>
      </c>
      <c r="C671" s="88" t="s">
        <v>561</v>
      </c>
      <c r="D671" s="88" t="s">
        <v>344</v>
      </c>
      <c r="E671" s="88" t="s">
        <v>1765</v>
      </c>
      <c r="F671" s="5" t="s">
        <v>2548</v>
      </c>
    </row>
    <row r="672" spans="1:6" hidden="1">
      <c r="A672" s="88" t="s">
        <v>1768</v>
      </c>
      <c r="B672" s="88" t="s">
        <v>1767</v>
      </c>
      <c r="C672" s="88" t="s">
        <v>561</v>
      </c>
      <c r="D672" s="88" t="s">
        <v>344</v>
      </c>
      <c r="E672" s="88" t="s">
        <v>1767</v>
      </c>
      <c r="F672" s="5" t="s">
        <v>2549</v>
      </c>
    </row>
    <row r="673" spans="1:6" hidden="1">
      <c r="A673" s="88" t="s">
        <v>1770</v>
      </c>
      <c r="B673" s="88" t="s">
        <v>1769</v>
      </c>
      <c r="C673" s="88" t="s">
        <v>561</v>
      </c>
      <c r="D673" s="88" t="s">
        <v>344</v>
      </c>
      <c r="E673" s="88" t="s">
        <v>1769</v>
      </c>
      <c r="F673" s="5" t="s">
        <v>2550</v>
      </c>
    </row>
    <row r="674" spans="1:6" hidden="1">
      <c r="A674" s="88" t="s">
        <v>1772</v>
      </c>
      <c r="B674" s="88" t="s">
        <v>1771</v>
      </c>
      <c r="C674" s="88" t="s">
        <v>561</v>
      </c>
      <c r="D674" s="88" t="s">
        <v>344</v>
      </c>
      <c r="E674" s="88" t="s">
        <v>1771</v>
      </c>
      <c r="F674" s="5" t="s">
        <v>2551</v>
      </c>
    </row>
    <row r="675" spans="1:6" hidden="1">
      <c r="A675" s="88" t="s">
        <v>1774</v>
      </c>
      <c r="B675" s="88" t="s">
        <v>1773</v>
      </c>
      <c r="C675" s="88" t="s">
        <v>561</v>
      </c>
      <c r="D675" s="88" t="s">
        <v>344</v>
      </c>
      <c r="E675" s="88" t="s">
        <v>1773</v>
      </c>
      <c r="F675" s="5" t="s">
        <v>2552</v>
      </c>
    </row>
    <row r="676" spans="1:6" hidden="1">
      <c r="A676" s="88" t="s">
        <v>1776</v>
      </c>
      <c r="B676" s="88" t="s">
        <v>1775</v>
      </c>
      <c r="C676" s="88" t="s">
        <v>561</v>
      </c>
      <c r="D676" s="88" t="s">
        <v>344</v>
      </c>
      <c r="E676" s="88" t="s">
        <v>1775</v>
      </c>
      <c r="F676" s="5" t="s">
        <v>2553</v>
      </c>
    </row>
    <row r="677" spans="1:6" hidden="1">
      <c r="A677" s="88" t="s">
        <v>1778</v>
      </c>
      <c r="B677" s="88" t="s">
        <v>1777</v>
      </c>
      <c r="C677" s="88" t="s">
        <v>561</v>
      </c>
      <c r="D677" s="88" t="s">
        <v>344</v>
      </c>
      <c r="E677" s="88" t="s">
        <v>1777</v>
      </c>
      <c r="F677" s="5" t="s">
        <v>2554</v>
      </c>
    </row>
    <row r="678" spans="1:6" hidden="1">
      <c r="A678" s="88" t="s">
        <v>1780</v>
      </c>
      <c r="B678" s="88" t="s">
        <v>1779</v>
      </c>
      <c r="C678" s="88" t="s">
        <v>561</v>
      </c>
      <c r="D678" s="88" t="s">
        <v>344</v>
      </c>
      <c r="E678" s="88" t="s">
        <v>1779</v>
      </c>
      <c r="F678" s="5" t="s">
        <v>2555</v>
      </c>
    </row>
    <row r="679" spans="1:6" hidden="1">
      <c r="A679" s="88" t="s">
        <v>1782</v>
      </c>
      <c r="B679" s="88" t="s">
        <v>1781</v>
      </c>
      <c r="C679" s="88" t="s">
        <v>561</v>
      </c>
      <c r="D679" s="88" t="s">
        <v>344</v>
      </c>
      <c r="E679" s="88" t="s">
        <v>1781</v>
      </c>
      <c r="F679" s="5" t="s">
        <v>2556</v>
      </c>
    </row>
    <row r="680" spans="1:6" hidden="1">
      <c r="A680" s="88" t="s">
        <v>1784</v>
      </c>
      <c r="B680" s="88" t="s">
        <v>1783</v>
      </c>
      <c r="C680" s="88" t="s">
        <v>561</v>
      </c>
      <c r="D680" s="88" t="s">
        <v>344</v>
      </c>
      <c r="E680" s="88" t="s">
        <v>1783</v>
      </c>
      <c r="F680" s="5" t="s">
        <v>2557</v>
      </c>
    </row>
    <row r="681" spans="1:6" hidden="1">
      <c r="A681" s="88" t="s">
        <v>1786</v>
      </c>
      <c r="B681" s="88" t="s">
        <v>1785</v>
      </c>
      <c r="C681" s="88" t="s">
        <v>561</v>
      </c>
      <c r="D681" s="88" t="s">
        <v>344</v>
      </c>
      <c r="E681" s="88" t="s">
        <v>1785</v>
      </c>
      <c r="F681" s="5" t="s">
        <v>2558</v>
      </c>
    </row>
    <row r="682" spans="1:6" hidden="1">
      <c r="A682" s="88" t="s">
        <v>1788</v>
      </c>
      <c r="B682" s="88" t="s">
        <v>1787</v>
      </c>
      <c r="C682" s="88" t="s">
        <v>562</v>
      </c>
      <c r="D682" s="88" t="s">
        <v>344</v>
      </c>
      <c r="E682" s="88" t="s">
        <v>1787</v>
      </c>
      <c r="F682" s="5" t="s">
        <v>2559</v>
      </c>
    </row>
    <row r="683" spans="1:6" hidden="1">
      <c r="A683" s="88" t="s">
        <v>1790</v>
      </c>
      <c r="B683" s="88" t="s">
        <v>1789</v>
      </c>
      <c r="C683" s="88" t="s">
        <v>562</v>
      </c>
      <c r="D683" s="88" t="s">
        <v>344</v>
      </c>
      <c r="E683" s="88" t="s">
        <v>1789</v>
      </c>
      <c r="F683" s="5" t="s">
        <v>2560</v>
      </c>
    </row>
    <row r="684" spans="1:6" hidden="1">
      <c r="A684" s="88" t="s">
        <v>1792</v>
      </c>
      <c r="B684" s="88" t="s">
        <v>1791</v>
      </c>
      <c r="C684" s="88" t="s">
        <v>562</v>
      </c>
      <c r="D684" s="88" t="s">
        <v>344</v>
      </c>
      <c r="E684" s="88" t="s">
        <v>1791</v>
      </c>
      <c r="F684" s="5" t="s">
        <v>2561</v>
      </c>
    </row>
    <row r="685" spans="1:6" hidden="1">
      <c r="A685" s="88" t="s">
        <v>1740</v>
      </c>
      <c r="B685" s="88" t="s">
        <v>1739</v>
      </c>
      <c r="C685" s="88" t="s">
        <v>562</v>
      </c>
      <c r="D685" s="88" t="s">
        <v>344</v>
      </c>
      <c r="E685" s="88" t="s">
        <v>1739</v>
      </c>
      <c r="F685" s="5" t="s">
        <v>2535</v>
      </c>
    </row>
    <row r="686" spans="1:6" hidden="1">
      <c r="A686" s="88" t="s">
        <v>1794</v>
      </c>
      <c r="B686" s="88" t="s">
        <v>1793</v>
      </c>
      <c r="C686" s="88" t="s">
        <v>563</v>
      </c>
      <c r="D686" s="88" t="s">
        <v>348</v>
      </c>
      <c r="E686" s="88" t="s">
        <v>1793</v>
      </c>
      <c r="F686" s="5" t="s">
        <v>2562</v>
      </c>
    </row>
    <row r="687" spans="1:6" hidden="1">
      <c r="A687" s="88" t="s">
        <v>1796</v>
      </c>
      <c r="B687" s="88" t="s">
        <v>1795</v>
      </c>
      <c r="C687" s="88" t="s">
        <v>563</v>
      </c>
      <c r="D687" s="88" t="s">
        <v>344</v>
      </c>
      <c r="E687" s="88" t="s">
        <v>1795</v>
      </c>
      <c r="F687" s="5" t="s">
        <v>2563</v>
      </c>
    </row>
    <row r="688" spans="1:6" hidden="1">
      <c r="A688" s="88" t="s">
        <v>1798</v>
      </c>
      <c r="B688" s="88" t="s">
        <v>1797</v>
      </c>
      <c r="C688" s="88" t="s">
        <v>563</v>
      </c>
      <c r="D688" s="88" t="s">
        <v>344</v>
      </c>
      <c r="E688" s="88" t="s">
        <v>1797</v>
      </c>
      <c r="F688" s="5" t="s">
        <v>2564</v>
      </c>
    </row>
    <row r="689" spans="1:6" hidden="1">
      <c r="A689" s="88" t="s">
        <v>1800</v>
      </c>
      <c r="B689" s="88" t="s">
        <v>1799</v>
      </c>
      <c r="C689" s="88" t="s">
        <v>563</v>
      </c>
      <c r="D689" s="88" t="s">
        <v>344</v>
      </c>
      <c r="E689" s="88" t="s">
        <v>1799</v>
      </c>
      <c r="F689" s="5" t="s">
        <v>2565</v>
      </c>
    </row>
    <row r="690" spans="1:6" hidden="1">
      <c r="A690" s="88" t="s">
        <v>1802</v>
      </c>
      <c r="B690" s="88" t="s">
        <v>1801</v>
      </c>
      <c r="C690" s="88" t="s">
        <v>564</v>
      </c>
      <c r="D690" s="88" t="s">
        <v>344</v>
      </c>
      <c r="E690" s="88" t="s">
        <v>1801</v>
      </c>
      <c r="F690" s="5" t="s">
        <v>2566</v>
      </c>
    </row>
    <row r="691" spans="1:6" hidden="1">
      <c r="A691" s="88" t="s">
        <v>1804</v>
      </c>
      <c r="B691" s="88" t="s">
        <v>1803</v>
      </c>
      <c r="C691" s="88" t="s">
        <v>565</v>
      </c>
      <c r="D691" s="88" t="s">
        <v>344</v>
      </c>
      <c r="E691" s="88" t="s">
        <v>1803</v>
      </c>
      <c r="F691" s="5" t="s">
        <v>2567</v>
      </c>
    </row>
    <row r="692" spans="1:6" hidden="1">
      <c r="A692" s="88" t="s">
        <v>1806</v>
      </c>
      <c r="B692" s="88" t="s">
        <v>1805</v>
      </c>
      <c r="C692" s="88" t="s">
        <v>565</v>
      </c>
      <c r="D692" s="88" t="s">
        <v>344</v>
      </c>
      <c r="E692" s="88" t="s">
        <v>1805</v>
      </c>
      <c r="F692" s="5" t="s">
        <v>2568</v>
      </c>
    </row>
    <row r="693" spans="1:6" hidden="1">
      <c r="A693" s="88" t="s">
        <v>1808</v>
      </c>
      <c r="B693" s="88" t="s">
        <v>1807</v>
      </c>
      <c r="C693" s="88" t="s">
        <v>565</v>
      </c>
      <c r="D693" s="88" t="s">
        <v>344</v>
      </c>
      <c r="E693" s="88" t="s">
        <v>1807</v>
      </c>
      <c r="F693" s="5" t="s">
        <v>2569</v>
      </c>
    </row>
    <row r="694" spans="1:6" hidden="1">
      <c r="A694" s="88" t="s">
        <v>1810</v>
      </c>
      <c r="B694" s="88" t="s">
        <v>1809</v>
      </c>
      <c r="C694" s="88" t="s">
        <v>565</v>
      </c>
      <c r="D694" s="88" t="s">
        <v>344</v>
      </c>
      <c r="E694" s="88" t="s">
        <v>1809</v>
      </c>
      <c r="F694" s="5" t="s">
        <v>2570</v>
      </c>
    </row>
    <row r="695" spans="1:6" hidden="1">
      <c r="A695" s="88" t="s">
        <v>1812</v>
      </c>
      <c r="B695" s="88" t="s">
        <v>1811</v>
      </c>
      <c r="C695" s="88" t="s">
        <v>565</v>
      </c>
      <c r="D695" s="88" t="s">
        <v>344</v>
      </c>
      <c r="E695" s="88" t="s">
        <v>1811</v>
      </c>
      <c r="F695" s="5" t="s">
        <v>2572</v>
      </c>
    </row>
    <row r="696" spans="1:6" hidden="1">
      <c r="A696" s="92" t="s">
        <v>1867</v>
      </c>
      <c r="B696" s="5" t="s">
        <v>1869</v>
      </c>
      <c r="C696" s="5" t="s">
        <v>1870</v>
      </c>
      <c r="F696" s="5" t="s">
        <v>2571</v>
      </c>
    </row>
    <row r="697" spans="1:6" hidden="1">
      <c r="A697" s="5" t="s">
        <v>1864</v>
      </c>
      <c r="B697" s="5" t="s">
        <v>1871</v>
      </c>
      <c r="C697" s="5" t="s">
        <v>1872</v>
      </c>
      <c r="F697" s="5" t="s">
        <v>1981</v>
      </c>
    </row>
    <row r="698" spans="1:6" hidden="1">
      <c r="A698" s="92" t="s">
        <v>1866</v>
      </c>
      <c r="B698" s="5" t="s">
        <v>1873</v>
      </c>
      <c r="C698" s="5" t="s">
        <v>1874</v>
      </c>
      <c r="F698" s="5" t="s">
        <v>1990</v>
      </c>
    </row>
    <row r="699" spans="1:6">
      <c r="A699" s="92" t="s">
        <v>1868</v>
      </c>
      <c r="B699" s="5" t="s">
        <v>1875</v>
      </c>
      <c r="C699" s="5" t="s">
        <v>1876</v>
      </c>
      <c r="F699" s="1" t="s">
        <v>2578</v>
      </c>
    </row>
    <row r="700" spans="1:6" hidden="1">
      <c r="A700" s="95" t="s">
        <v>2076</v>
      </c>
      <c r="B700" s="5" t="s">
        <v>2575</v>
      </c>
      <c r="C700" s="5" t="s">
        <v>2576</v>
      </c>
      <c r="F700" s="5" t="s">
        <v>2577</v>
      </c>
    </row>
    <row r="701" spans="1:6" hidden="1">
      <c r="A701" s="112" t="s">
        <v>2579</v>
      </c>
      <c r="B701" s="111">
        <v>254074</v>
      </c>
      <c r="C701" s="5" t="s">
        <v>2580</v>
      </c>
      <c r="F701" s="5" t="s">
        <v>2581</v>
      </c>
    </row>
    <row r="702" spans="1:6" hidden="1">
      <c r="A702" s="5" t="s">
        <v>2597</v>
      </c>
      <c r="B702" s="5" t="s">
        <v>2599</v>
      </c>
      <c r="C702" s="5" t="s">
        <v>2600</v>
      </c>
      <c r="F702" s="1" t="s">
        <v>2598</v>
      </c>
    </row>
    <row r="717" spans="1:6">
      <c r="A717" s="99" t="s">
        <v>576</v>
      </c>
      <c r="B717" s="99" t="s">
        <v>575</v>
      </c>
      <c r="C717" s="99" t="s">
        <v>349</v>
      </c>
      <c r="D717" s="99" t="s">
        <v>345</v>
      </c>
      <c r="E717" s="99" t="s">
        <v>575</v>
      </c>
      <c r="F717" s="107" t="s">
        <v>2081</v>
      </c>
    </row>
    <row r="718" spans="1:6">
      <c r="A718" s="99" t="s">
        <v>580</v>
      </c>
      <c r="B718" s="99" t="s">
        <v>579</v>
      </c>
      <c r="C718" s="99" t="s">
        <v>351</v>
      </c>
      <c r="D718" s="99" t="s">
        <v>352</v>
      </c>
      <c r="E718" s="99" t="s">
        <v>579</v>
      </c>
      <c r="F718" s="107" t="s">
        <v>2081</v>
      </c>
    </row>
    <row r="719" spans="1:6">
      <c r="A719" s="99" t="s">
        <v>611</v>
      </c>
      <c r="B719" s="99" t="s">
        <v>610</v>
      </c>
      <c r="C719" s="99" t="s">
        <v>358</v>
      </c>
      <c r="D719" s="99" t="s">
        <v>352</v>
      </c>
      <c r="E719" s="99" t="s">
        <v>610</v>
      </c>
      <c r="F719" s="107" t="s">
        <v>2081</v>
      </c>
    </row>
    <row r="720" spans="1:6">
      <c r="A720" s="99" t="s">
        <v>625</v>
      </c>
      <c r="B720" s="99" t="s">
        <v>624</v>
      </c>
      <c r="C720" s="99" t="s">
        <v>361</v>
      </c>
      <c r="D720" s="99" t="s">
        <v>352</v>
      </c>
      <c r="E720" s="99" t="s">
        <v>624</v>
      </c>
      <c r="F720" s="107" t="s">
        <v>2081</v>
      </c>
    </row>
    <row r="721" spans="1:6">
      <c r="A721" s="100" t="s">
        <v>651</v>
      </c>
      <c r="B721" s="100" t="s">
        <v>650</v>
      </c>
      <c r="C721" s="100" t="s">
        <v>365</v>
      </c>
      <c r="D721" s="100" t="s">
        <v>345</v>
      </c>
      <c r="E721" s="100" t="s">
        <v>650</v>
      </c>
      <c r="F721" s="107" t="s">
        <v>2081</v>
      </c>
    </row>
    <row r="722" spans="1:6">
      <c r="A722" s="100" t="s">
        <v>655</v>
      </c>
      <c r="B722" s="100" t="s">
        <v>654</v>
      </c>
      <c r="C722" s="100" t="s">
        <v>366</v>
      </c>
      <c r="D722" s="100" t="s">
        <v>352</v>
      </c>
      <c r="E722" s="100" t="s">
        <v>654</v>
      </c>
      <c r="F722" s="107" t="s">
        <v>2081</v>
      </c>
    </row>
    <row r="723" spans="1:6">
      <c r="A723" s="100" t="s">
        <v>133</v>
      </c>
      <c r="B723" s="100" t="s">
        <v>696</v>
      </c>
      <c r="C723" s="100" t="s">
        <v>371</v>
      </c>
      <c r="D723" s="100" t="s">
        <v>352</v>
      </c>
      <c r="E723" s="100" t="s">
        <v>696</v>
      </c>
      <c r="F723" s="107" t="s">
        <v>2081</v>
      </c>
    </row>
    <row r="724" spans="1:6">
      <c r="A724" s="101" t="s">
        <v>722</v>
      </c>
      <c r="B724" s="101" t="s">
        <v>721</v>
      </c>
      <c r="C724" s="101" t="s">
        <v>374</v>
      </c>
      <c r="D724" s="101" t="s">
        <v>345</v>
      </c>
      <c r="E724" s="101" t="s">
        <v>721</v>
      </c>
      <c r="F724" s="107" t="s">
        <v>2081</v>
      </c>
    </row>
    <row r="725" spans="1:6">
      <c r="A725" s="101" t="s">
        <v>212</v>
      </c>
      <c r="B725" s="101" t="s">
        <v>725</v>
      </c>
      <c r="C725" s="101" t="s">
        <v>376</v>
      </c>
      <c r="D725" s="101" t="s">
        <v>352</v>
      </c>
      <c r="E725" s="101" t="s">
        <v>725</v>
      </c>
      <c r="F725" s="107" t="s">
        <v>2081</v>
      </c>
    </row>
    <row r="726" spans="1:6">
      <c r="A726" s="101" t="s">
        <v>125</v>
      </c>
      <c r="B726" s="101" t="s">
        <v>757</v>
      </c>
      <c r="C726" s="101" t="s">
        <v>380</v>
      </c>
      <c r="D726" s="101" t="s">
        <v>352</v>
      </c>
      <c r="E726" s="101" t="s">
        <v>757</v>
      </c>
      <c r="F726" s="107" t="s">
        <v>2081</v>
      </c>
    </row>
    <row r="727" spans="1:6">
      <c r="A727" s="101" t="s">
        <v>777</v>
      </c>
      <c r="B727" s="101" t="s">
        <v>776</v>
      </c>
      <c r="C727" s="101" t="s">
        <v>384</v>
      </c>
      <c r="D727" s="101" t="s">
        <v>352</v>
      </c>
      <c r="E727" s="101" t="s">
        <v>776</v>
      </c>
      <c r="F727" s="107" t="s">
        <v>2081</v>
      </c>
    </row>
    <row r="728" spans="1:6">
      <c r="A728" s="102" t="s">
        <v>799</v>
      </c>
      <c r="B728" s="102" t="s">
        <v>798</v>
      </c>
      <c r="C728" s="102" t="s">
        <v>387</v>
      </c>
      <c r="D728" s="102" t="s">
        <v>345</v>
      </c>
      <c r="E728" s="102" t="s">
        <v>798</v>
      </c>
      <c r="F728" s="107" t="s">
        <v>2081</v>
      </c>
    </row>
    <row r="729" spans="1:6">
      <c r="A729" s="102" t="s">
        <v>801</v>
      </c>
      <c r="B729" s="102" t="s">
        <v>800</v>
      </c>
      <c r="C729" s="102" t="s">
        <v>388</v>
      </c>
      <c r="D729" s="102" t="s">
        <v>352</v>
      </c>
      <c r="E729" s="102" t="s">
        <v>800</v>
      </c>
      <c r="F729" s="107" t="s">
        <v>2081</v>
      </c>
    </row>
    <row r="730" spans="1:6">
      <c r="A730" s="102" t="s">
        <v>836</v>
      </c>
      <c r="B730" s="102" t="s">
        <v>835</v>
      </c>
      <c r="C730" s="102" t="s">
        <v>392</v>
      </c>
      <c r="D730" s="102" t="s">
        <v>352</v>
      </c>
      <c r="E730" s="102" t="s">
        <v>835</v>
      </c>
      <c r="F730" s="107" t="s">
        <v>2081</v>
      </c>
    </row>
    <row r="731" spans="1:6">
      <c r="A731" s="102" t="s">
        <v>871</v>
      </c>
      <c r="B731" s="102" t="s">
        <v>870</v>
      </c>
      <c r="C731" s="102" t="s">
        <v>397</v>
      </c>
      <c r="D731" s="102" t="s">
        <v>352</v>
      </c>
      <c r="E731" s="102" t="s">
        <v>870</v>
      </c>
      <c r="F731" s="107" t="s">
        <v>2081</v>
      </c>
    </row>
    <row r="732" spans="1:6">
      <c r="A732" s="101" t="s">
        <v>894</v>
      </c>
      <c r="B732" s="101" t="s">
        <v>893</v>
      </c>
      <c r="C732" s="101" t="s">
        <v>400</v>
      </c>
      <c r="D732" s="101" t="s">
        <v>345</v>
      </c>
      <c r="E732" s="101" t="s">
        <v>893</v>
      </c>
      <c r="F732" s="107" t="s">
        <v>2081</v>
      </c>
    </row>
    <row r="733" spans="1:6">
      <c r="A733" s="101" t="s">
        <v>896</v>
      </c>
      <c r="B733" s="101" t="s">
        <v>895</v>
      </c>
      <c r="C733" s="101" t="s">
        <v>401</v>
      </c>
      <c r="D733" s="101" t="s">
        <v>352</v>
      </c>
      <c r="E733" s="101" t="s">
        <v>895</v>
      </c>
      <c r="F733" s="107" t="s">
        <v>2081</v>
      </c>
    </row>
    <row r="734" spans="1:6">
      <c r="A734" s="101" t="s">
        <v>926</v>
      </c>
      <c r="B734" s="101" t="s">
        <v>925</v>
      </c>
      <c r="C734" s="101" t="s">
        <v>405</v>
      </c>
      <c r="D734" s="101" t="s">
        <v>352</v>
      </c>
      <c r="E734" s="101" t="s">
        <v>925</v>
      </c>
      <c r="F734" s="107" t="s">
        <v>2081</v>
      </c>
    </row>
    <row r="735" spans="1:6">
      <c r="A735" s="101" t="s">
        <v>954</v>
      </c>
      <c r="B735" s="101" t="s">
        <v>953</v>
      </c>
      <c r="C735" s="101" t="s">
        <v>410</v>
      </c>
      <c r="D735" s="101" t="s">
        <v>352</v>
      </c>
      <c r="E735" s="101" t="s">
        <v>953</v>
      </c>
      <c r="F735" s="107" t="s">
        <v>2081</v>
      </c>
    </row>
    <row r="736" spans="1:6">
      <c r="A736" s="99" t="s">
        <v>974</v>
      </c>
      <c r="B736" s="99" t="s">
        <v>973</v>
      </c>
      <c r="C736" s="99" t="s">
        <v>414</v>
      </c>
      <c r="D736" s="99" t="s">
        <v>345</v>
      </c>
      <c r="E736" s="99" t="s">
        <v>973</v>
      </c>
      <c r="F736" s="107" t="s">
        <v>2081</v>
      </c>
    </row>
    <row r="737" spans="1:6">
      <c r="A737" s="99" t="s">
        <v>976</v>
      </c>
      <c r="B737" s="99" t="s">
        <v>975</v>
      </c>
      <c r="C737" s="99" t="s">
        <v>415</v>
      </c>
      <c r="D737" s="99" t="s">
        <v>352</v>
      </c>
      <c r="E737" s="99" t="s">
        <v>975</v>
      </c>
      <c r="F737" s="107" t="s">
        <v>2081</v>
      </c>
    </row>
    <row r="738" spans="1:6">
      <c r="A738" s="99" t="s">
        <v>180</v>
      </c>
      <c r="B738" s="99" t="s">
        <v>1005</v>
      </c>
      <c r="C738" s="99" t="s">
        <v>421</v>
      </c>
      <c r="D738" s="99" t="s">
        <v>352</v>
      </c>
      <c r="E738" s="99" t="s">
        <v>1005</v>
      </c>
      <c r="F738" s="107" t="s">
        <v>2081</v>
      </c>
    </row>
    <row r="739" spans="1:6">
      <c r="A739" s="99" t="s">
        <v>169</v>
      </c>
      <c r="B739" s="99" t="s">
        <v>1034</v>
      </c>
      <c r="C739" s="99" t="s">
        <v>426</v>
      </c>
      <c r="D739" s="99" t="s">
        <v>352</v>
      </c>
      <c r="E739" s="99" t="s">
        <v>1034</v>
      </c>
      <c r="F739" s="107" t="s">
        <v>2081</v>
      </c>
    </row>
    <row r="740" spans="1:6">
      <c r="A740" s="99" t="s">
        <v>1053</v>
      </c>
      <c r="B740" s="99" t="s">
        <v>1052</v>
      </c>
      <c r="C740" s="99" t="s">
        <v>429</v>
      </c>
      <c r="D740" s="99" t="s">
        <v>352</v>
      </c>
      <c r="E740" s="99" t="s">
        <v>1052</v>
      </c>
      <c r="F740" s="107" t="s">
        <v>2081</v>
      </c>
    </row>
    <row r="741" spans="1:6">
      <c r="A741" s="103" t="s">
        <v>1074</v>
      </c>
      <c r="B741" s="103" t="s">
        <v>1073</v>
      </c>
      <c r="C741" s="103" t="s">
        <v>433</v>
      </c>
      <c r="D741" s="103" t="s">
        <v>345</v>
      </c>
      <c r="E741" s="103" t="s">
        <v>1073</v>
      </c>
      <c r="F741" s="107" t="s">
        <v>2081</v>
      </c>
    </row>
    <row r="742" spans="1:6">
      <c r="A742" s="103" t="s">
        <v>1076</v>
      </c>
      <c r="B742" s="103" t="s">
        <v>1075</v>
      </c>
      <c r="C742" s="103" t="s">
        <v>434</v>
      </c>
      <c r="D742" s="103" t="s">
        <v>352</v>
      </c>
      <c r="E742" s="103" t="s">
        <v>1075</v>
      </c>
      <c r="F742" s="107" t="s">
        <v>2081</v>
      </c>
    </row>
    <row r="743" spans="1:6">
      <c r="A743" s="103" t="s">
        <v>1114</v>
      </c>
      <c r="B743" s="103" t="s">
        <v>1113</v>
      </c>
      <c r="C743" s="103" t="s">
        <v>438</v>
      </c>
      <c r="D743" s="103" t="s">
        <v>352</v>
      </c>
      <c r="E743" s="103" t="s">
        <v>1113</v>
      </c>
      <c r="F743" s="107" t="s">
        <v>2081</v>
      </c>
    </row>
    <row r="744" spans="1:6">
      <c r="A744" s="103" t="s">
        <v>1147</v>
      </c>
      <c r="B744" s="103" t="s">
        <v>1146</v>
      </c>
      <c r="C744" s="103" t="s">
        <v>442</v>
      </c>
      <c r="D744" s="103" t="s">
        <v>352</v>
      </c>
      <c r="E744" s="103" t="s">
        <v>1146</v>
      </c>
      <c r="F744" s="107" t="s">
        <v>2081</v>
      </c>
    </row>
    <row r="745" spans="1:6">
      <c r="A745" s="104" t="s">
        <v>1186</v>
      </c>
      <c r="B745" s="104" t="s">
        <v>1185</v>
      </c>
      <c r="C745" s="104" t="s">
        <v>447</v>
      </c>
      <c r="D745" s="104" t="s">
        <v>345</v>
      </c>
      <c r="E745" s="104" t="s">
        <v>1185</v>
      </c>
      <c r="F745" s="107" t="s">
        <v>2081</v>
      </c>
    </row>
    <row r="746" spans="1:6">
      <c r="A746" s="104" t="s">
        <v>1188</v>
      </c>
      <c r="B746" s="104" t="s">
        <v>1187</v>
      </c>
      <c r="C746" s="104" t="s">
        <v>448</v>
      </c>
      <c r="D746" s="104" t="s">
        <v>352</v>
      </c>
      <c r="E746" s="104" t="s">
        <v>1187</v>
      </c>
      <c r="F746" s="107" t="s">
        <v>2081</v>
      </c>
    </row>
    <row r="747" spans="1:6">
      <c r="A747" s="104" t="s">
        <v>1215</v>
      </c>
      <c r="B747" s="104" t="s">
        <v>1214</v>
      </c>
      <c r="C747" s="104" t="s">
        <v>452</v>
      </c>
      <c r="D747" s="104" t="s">
        <v>352</v>
      </c>
      <c r="E747" s="104" t="s">
        <v>1214</v>
      </c>
      <c r="F747" s="107" t="s">
        <v>2081</v>
      </c>
    </row>
    <row r="748" spans="1:6">
      <c r="A748" s="104" t="s">
        <v>229</v>
      </c>
      <c r="B748" s="104" t="s">
        <v>1232</v>
      </c>
      <c r="C748" s="104" t="s">
        <v>456</v>
      </c>
      <c r="D748" s="104" t="s">
        <v>352</v>
      </c>
      <c r="E748" s="104" t="s">
        <v>1232</v>
      </c>
      <c r="F748" s="107" t="s">
        <v>2081</v>
      </c>
    </row>
    <row r="749" spans="1:6">
      <c r="A749" s="105" t="s">
        <v>1260</v>
      </c>
      <c r="B749" s="105" t="s">
        <v>1259</v>
      </c>
      <c r="C749" s="105" t="s">
        <v>462</v>
      </c>
      <c r="D749" s="105" t="s">
        <v>345</v>
      </c>
      <c r="E749" s="105" t="s">
        <v>1259</v>
      </c>
      <c r="F749" s="107" t="s">
        <v>2081</v>
      </c>
    </row>
    <row r="750" spans="1:6">
      <c r="A750" s="105" t="s">
        <v>1266</v>
      </c>
      <c r="B750" s="105" t="s">
        <v>1265</v>
      </c>
      <c r="C750" s="105" t="s">
        <v>464</v>
      </c>
      <c r="D750" s="105" t="s">
        <v>352</v>
      </c>
      <c r="E750" s="105" t="s">
        <v>1265</v>
      </c>
      <c r="F750" s="107" t="s">
        <v>2081</v>
      </c>
    </row>
    <row r="751" spans="1:6">
      <c r="A751" s="105" t="s">
        <v>218</v>
      </c>
      <c r="B751" s="105" t="s">
        <v>1292</v>
      </c>
      <c r="C751" s="105" t="s">
        <v>469</v>
      </c>
      <c r="D751" s="105" t="s">
        <v>352</v>
      </c>
      <c r="E751" s="105" t="s">
        <v>1292</v>
      </c>
      <c r="F751" s="107" t="s">
        <v>2081</v>
      </c>
    </row>
    <row r="752" spans="1:6">
      <c r="A752" s="99" t="s">
        <v>578</v>
      </c>
      <c r="B752" s="99" t="s">
        <v>577</v>
      </c>
      <c r="C752" s="99" t="s">
        <v>350</v>
      </c>
      <c r="D752" s="99" t="s">
        <v>344</v>
      </c>
      <c r="E752" s="99" t="s">
        <v>577</v>
      </c>
      <c r="F752" s="107"/>
    </row>
    <row r="753" spans="1:6">
      <c r="A753" s="100" t="s">
        <v>653</v>
      </c>
      <c r="B753" s="100" t="s">
        <v>652</v>
      </c>
      <c r="C753" s="100" t="s">
        <v>365</v>
      </c>
      <c r="D753" s="100" t="s">
        <v>344</v>
      </c>
      <c r="E753" s="100" t="s">
        <v>652</v>
      </c>
      <c r="F753" s="108"/>
    </row>
    <row r="754" spans="1:6">
      <c r="A754" s="101" t="s">
        <v>724</v>
      </c>
      <c r="B754" s="101" t="s">
        <v>723</v>
      </c>
      <c r="C754" s="101" t="s">
        <v>375</v>
      </c>
      <c r="D754" s="101" t="s">
        <v>344</v>
      </c>
      <c r="E754" s="101" t="s">
        <v>723</v>
      </c>
      <c r="F754" s="109"/>
    </row>
    <row r="755" spans="1:6">
      <c r="A755" s="105" t="s">
        <v>1262</v>
      </c>
      <c r="B755" s="105" t="s">
        <v>1261</v>
      </c>
      <c r="C755" s="105" t="s">
        <v>463</v>
      </c>
      <c r="D755" s="105" t="s">
        <v>420</v>
      </c>
      <c r="E755" s="105" t="s">
        <v>1261</v>
      </c>
      <c r="F755" s="110"/>
    </row>
    <row r="756" spans="1:6">
      <c r="A756" s="105" t="s">
        <v>1264</v>
      </c>
      <c r="B756" s="105" t="s">
        <v>1263</v>
      </c>
      <c r="C756" s="105" t="s">
        <v>463</v>
      </c>
      <c r="D756" s="105" t="s">
        <v>344</v>
      </c>
      <c r="E756" s="105" t="s">
        <v>1263</v>
      </c>
      <c r="F756" s="110"/>
    </row>
  </sheetData>
  <autoFilter ref="A1:G702" xr:uid="{12729EB8-DFC1-4DAB-9DE7-6161C545CE73}">
    <filterColumn colId="2">
      <filters>
        <filter val="ＩＬ工事Ｓ　中部　北陸支店　松本ＣＳ"/>
        <filter val="松本"/>
      </filters>
    </filterColumn>
  </autoFilter>
  <phoneticPr fontId="4"/>
  <conditionalFormatting sqref="A696">
    <cfRule type="duplicateValues" dxfId="3" priority="4"/>
  </conditionalFormatting>
  <conditionalFormatting sqref="A698">
    <cfRule type="duplicateValues" dxfId="2" priority="3"/>
  </conditionalFormatting>
  <conditionalFormatting sqref="A699">
    <cfRule type="duplicateValues" dxfId="1" priority="2"/>
  </conditionalFormatting>
  <conditionalFormatting sqref="A700">
    <cfRule type="duplicateValues" dxfId="0" priority="1"/>
  </conditionalFormatting>
  <hyperlinks>
    <hyperlink ref="F699" r:id="rId1" xr:uid="{87690A76-1EAB-4DA5-8839-7FDC15651208}"/>
    <hyperlink ref="F702" r:id="rId2" xr:uid="{54788D97-41E9-4DC8-8421-9414D594307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6FC79-FD4C-494C-A568-F80643DB0E06}">
  <sheetPr codeName="Sheet2"/>
  <dimension ref="B2:CQ102"/>
  <sheetViews>
    <sheetView workbookViewId="0">
      <selection activeCell="E98" sqref="E98"/>
    </sheetView>
  </sheetViews>
  <sheetFormatPr defaultRowHeight="15.75"/>
  <cols>
    <col min="1" max="3" width="9" style="5"/>
    <col min="4" max="4" width="51.5" style="5" customWidth="1"/>
    <col min="5" max="5" width="66.875" style="5" customWidth="1"/>
    <col min="6" max="16384" width="9" style="5"/>
  </cols>
  <sheetData>
    <row r="2" spans="2:95">
      <c r="B2" s="5" t="s">
        <v>1877</v>
      </c>
      <c r="C2" s="5" t="s">
        <v>1878</v>
      </c>
      <c r="D2" s="5" t="s">
        <v>1879</v>
      </c>
      <c r="E2" s="5" t="s">
        <v>1880</v>
      </c>
      <c r="F2" s="5" t="s">
        <v>1881</v>
      </c>
      <c r="G2" s="5" t="s">
        <v>1882</v>
      </c>
      <c r="H2" s="5" t="s">
        <v>1883</v>
      </c>
      <c r="I2" s="5" t="s">
        <v>1884</v>
      </c>
      <c r="J2" s="5" t="s">
        <v>1885</v>
      </c>
      <c r="K2" s="5" t="s">
        <v>1886</v>
      </c>
      <c r="L2" s="5" t="s">
        <v>1887</v>
      </c>
      <c r="M2" s="5" t="s">
        <v>1888</v>
      </c>
      <c r="N2" s="5" t="s">
        <v>1889</v>
      </c>
      <c r="O2" s="5" t="s">
        <v>1890</v>
      </c>
      <c r="P2" s="5" t="s">
        <v>1891</v>
      </c>
      <c r="Q2" s="5" t="s">
        <v>1892</v>
      </c>
      <c r="R2" s="5" t="s">
        <v>1893</v>
      </c>
      <c r="S2" s="5" t="s">
        <v>1894</v>
      </c>
      <c r="T2" s="5" t="s">
        <v>1895</v>
      </c>
      <c r="U2" s="5" t="s">
        <v>1896</v>
      </c>
      <c r="V2" s="5" t="s">
        <v>1897</v>
      </c>
      <c r="W2" s="5" t="s">
        <v>1898</v>
      </c>
      <c r="X2" s="5" t="s">
        <v>1899</v>
      </c>
      <c r="Y2" s="5" t="s">
        <v>1900</v>
      </c>
      <c r="Z2" s="5" t="s">
        <v>1901</v>
      </c>
      <c r="AA2" s="5" t="s">
        <v>1902</v>
      </c>
      <c r="AB2" s="5" t="s">
        <v>1903</v>
      </c>
      <c r="AC2" s="5" t="s">
        <v>1904</v>
      </c>
      <c r="AD2" s="5" t="s">
        <v>1905</v>
      </c>
      <c r="AE2" s="5" t="s">
        <v>1906</v>
      </c>
      <c r="AF2" s="5" t="s">
        <v>1907</v>
      </c>
      <c r="AG2" s="5" t="s">
        <v>1908</v>
      </c>
      <c r="AH2" s="5" t="s">
        <v>1909</v>
      </c>
      <c r="AI2" s="5" t="s">
        <v>1910</v>
      </c>
      <c r="AJ2" s="5" t="s">
        <v>1911</v>
      </c>
      <c r="AK2" s="5" t="s">
        <v>1912</v>
      </c>
      <c r="AL2" s="5" t="s">
        <v>1913</v>
      </c>
      <c r="AM2" s="5" t="s">
        <v>1914</v>
      </c>
      <c r="AN2" s="5" t="s">
        <v>1915</v>
      </c>
      <c r="AO2" s="5" t="s">
        <v>1916</v>
      </c>
      <c r="AP2" s="5" t="s">
        <v>1917</v>
      </c>
      <c r="AQ2" s="5" t="s">
        <v>1918</v>
      </c>
      <c r="AR2" s="5" t="s">
        <v>1919</v>
      </c>
      <c r="AS2" s="5" t="s">
        <v>1920</v>
      </c>
      <c r="AT2" s="5" t="s">
        <v>1921</v>
      </c>
      <c r="AU2" s="5" t="s">
        <v>1922</v>
      </c>
      <c r="AV2" s="5" t="s">
        <v>1923</v>
      </c>
      <c r="AW2" s="5" t="s">
        <v>1924</v>
      </c>
      <c r="AX2" s="5" t="s">
        <v>1925</v>
      </c>
      <c r="AY2" s="5" t="s">
        <v>1926</v>
      </c>
      <c r="AZ2" s="5" t="s">
        <v>1927</v>
      </c>
      <c r="BA2" s="5" t="s">
        <v>1928</v>
      </c>
      <c r="BB2" s="5" t="s">
        <v>1929</v>
      </c>
      <c r="BC2" s="5" t="s">
        <v>1930</v>
      </c>
      <c r="BD2" s="5" t="s">
        <v>1931</v>
      </c>
      <c r="BE2" s="5" t="s">
        <v>1932</v>
      </c>
      <c r="BF2" s="5" t="s">
        <v>1933</v>
      </c>
      <c r="BG2" s="5" t="s">
        <v>1934</v>
      </c>
      <c r="BH2" s="5" t="s">
        <v>1935</v>
      </c>
      <c r="BI2" s="5" t="s">
        <v>1936</v>
      </c>
      <c r="BJ2" s="5" t="s">
        <v>1937</v>
      </c>
      <c r="BK2" s="5" t="s">
        <v>1938</v>
      </c>
      <c r="BL2" s="5" t="s">
        <v>1939</v>
      </c>
      <c r="BM2" s="5" t="s">
        <v>1940</v>
      </c>
      <c r="BN2" s="5" t="s">
        <v>1941</v>
      </c>
      <c r="BO2" s="5" t="s">
        <v>1942</v>
      </c>
      <c r="BP2" s="5" t="s">
        <v>1943</v>
      </c>
      <c r="BQ2" s="5" t="s">
        <v>1944</v>
      </c>
      <c r="BR2" s="5" t="s">
        <v>1945</v>
      </c>
      <c r="BS2" s="5" t="s">
        <v>1946</v>
      </c>
      <c r="BT2" s="5" t="s">
        <v>1947</v>
      </c>
      <c r="BU2" s="5" t="s">
        <v>1948</v>
      </c>
      <c r="BV2" s="5" t="s">
        <v>1949</v>
      </c>
      <c r="BW2" s="5" t="s">
        <v>1950</v>
      </c>
      <c r="BX2" s="5" t="s">
        <v>1951</v>
      </c>
      <c r="BY2" s="5" t="s">
        <v>1952</v>
      </c>
      <c r="BZ2" s="5" t="s">
        <v>1953</v>
      </c>
      <c r="CA2" s="5" t="s">
        <v>1954</v>
      </c>
      <c r="CB2" s="5" t="s">
        <v>1955</v>
      </c>
      <c r="CC2" s="5" t="s">
        <v>1956</v>
      </c>
      <c r="CD2" s="5" t="s">
        <v>1957</v>
      </c>
      <c r="CE2" s="5" t="s">
        <v>1958</v>
      </c>
      <c r="CF2" s="5" t="s">
        <v>1959</v>
      </c>
      <c r="CG2" s="5" t="s">
        <v>1960</v>
      </c>
    </row>
    <row r="4" spans="2:95">
      <c r="C4" s="5" t="s">
        <v>1961</v>
      </c>
      <c r="D4" s="5" t="s">
        <v>1962</v>
      </c>
      <c r="E4" s="5" t="s">
        <v>1963</v>
      </c>
      <c r="F4" s="5" t="s">
        <v>1964</v>
      </c>
      <c r="G4" s="5" t="s">
        <v>1965</v>
      </c>
      <c r="H4" s="5" t="s">
        <v>1966</v>
      </c>
      <c r="I4" s="5" t="s">
        <v>1967</v>
      </c>
      <c r="J4" s="5" t="s">
        <v>1968</v>
      </c>
      <c r="K4" s="5" t="s">
        <v>1969</v>
      </c>
      <c r="L4" s="5" t="s">
        <v>1970</v>
      </c>
      <c r="M4" s="5" t="s">
        <v>1971</v>
      </c>
      <c r="N4" s="5" t="s">
        <v>1972</v>
      </c>
      <c r="O4" s="5" t="s">
        <v>1973</v>
      </c>
      <c r="P4" s="5" t="s">
        <v>1974</v>
      </c>
      <c r="Q4" s="5" t="s">
        <v>1975</v>
      </c>
      <c r="R4" s="5" t="s">
        <v>1976</v>
      </c>
      <c r="S4" s="5" t="s">
        <v>1977</v>
      </c>
      <c r="T4" s="5" t="s">
        <v>1978</v>
      </c>
      <c r="U4" s="5" t="s">
        <v>1979</v>
      </c>
      <c r="V4" s="5" t="s">
        <v>1980</v>
      </c>
      <c r="W4" s="5" t="s">
        <v>1981</v>
      </c>
      <c r="X4" s="5" t="s">
        <v>1982</v>
      </c>
      <c r="Y4" s="5" t="s">
        <v>1983</v>
      </c>
      <c r="Z4" s="5" t="s">
        <v>1984</v>
      </c>
      <c r="AA4" s="5" t="s">
        <v>1985</v>
      </c>
      <c r="AB4" s="5" t="s">
        <v>1986</v>
      </c>
      <c r="AC4" s="5" t="s">
        <v>1987</v>
      </c>
      <c r="AD4" s="5" t="s">
        <v>1988</v>
      </c>
      <c r="AE4" s="5" t="s">
        <v>1989</v>
      </c>
      <c r="AF4" s="5" t="s">
        <v>1990</v>
      </c>
      <c r="AG4" s="5" t="s">
        <v>1991</v>
      </c>
      <c r="AH4" s="5" t="s">
        <v>1992</v>
      </c>
      <c r="AI4" s="5" t="s">
        <v>1993</v>
      </c>
      <c r="AJ4" s="5" t="s">
        <v>1994</v>
      </c>
      <c r="AK4" s="5" t="s">
        <v>1995</v>
      </c>
      <c r="AL4" s="5" t="s">
        <v>1996</v>
      </c>
      <c r="AM4" s="5" t="s">
        <v>1997</v>
      </c>
      <c r="AN4" s="5" t="s">
        <v>1998</v>
      </c>
      <c r="AO4" s="5" t="s">
        <v>1999</v>
      </c>
      <c r="AP4" s="5" t="s">
        <v>2000</v>
      </c>
      <c r="AQ4" s="5" t="s">
        <v>2001</v>
      </c>
      <c r="AR4" s="5" t="s">
        <v>2002</v>
      </c>
      <c r="AS4" s="5" t="s">
        <v>2003</v>
      </c>
      <c r="AT4" s="5" t="s">
        <v>2004</v>
      </c>
      <c r="AU4" s="5" t="s">
        <v>2005</v>
      </c>
      <c r="AV4" s="5" t="s">
        <v>2006</v>
      </c>
      <c r="AW4" s="5" t="s">
        <v>2007</v>
      </c>
      <c r="AX4" s="5" t="s">
        <v>2008</v>
      </c>
      <c r="AY4" s="5" t="s">
        <v>2009</v>
      </c>
      <c r="AZ4" s="5" t="s">
        <v>2010</v>
      </c>
      <c r="BA4" s="5" t="s">
        <v>2011</v>
      </c>
      <c r="BB4" s="5" t="s">
        <v>2012</v>
      </c>
      <c r="BC4" s="5" t="s">
        <v>2013</v>
      </c>
      <c r="BD4" s="5" t="s">
        <v>2014</v>
      </c>
      <c r="BE4" s="5" t="s">
        <v>2015</v>
      </c>
      <c r="BF4" s="5" t="s">
        <v>2016</v>
      </c>
      <c r="BG4" s="5" t="s">
        <v>2017</v>
      </c>
      <c r="BH4" s="5" t="s">
        <v>2018</v>
      </c>
      <c r="BI4" s="5" t="s">
        <v>2019</v>
      </c>
      <c r="BJ4" s="5" t="s">
        <v>2020</v>
      </c>
      <c r="BK4" s="5" t="s">
        <v>2021</v>
      </c>
      <c r="BL4" s="5" t="s">
        <v>2022</v>
      </c>
      <c r="BM4" s="5" t="s">
        <v>2023</v>
      </c>
      <c r="BN4" s="5" t="s">
        <v>2024</v>
      </c>
      <c r="BO4" s="5" t="s">
        <v>2025</v>
      </c>
      <c r="BP4" s="5" t="s">
        <v>2026</v>
      </c>
      <c r="BQ4" s="5" t="s">
        <v>2027</v>
      </c>
      <c r="BR4" s="5" t="s">
        <v>2028</v>
      </c>
      <c r="BS4" s="5" t="s">
        <v>2029</v>
      </c>
      <c r="BT4" s="5" t="s">
        <v>2030</v>
      </c>
      <c r="BU4" s="5" t="s">
        <v>2031</v>
      </c>
      <c r="BV4" s="5" t="s">
        <v>2032</v>
      </c>
      <c r="BW4" s="5" t="s">
        <v>2033</v>
      </c>
      <c r="BX4" s="5" t="s">
        <v>2034</v>
      </c>
      <c r="BY4" s="5" t="s">
        <v>2035</v>
      </c>
      <c r="BZ4" s="5" t="s">
        <v>2036</v>
      </c>
      <c r="CA4" s="5" t="s">
        <v>2037</v>
      </c>
      <c r="CB4" s="5" t="s">
        <v>2038</v>
      </c>
      <c r="CC4" s="5" t="s">
        <v>2039</v>
      </c>
      <c r="CD4" s="5" t="s">
        <v>2040</v>
      </c>
      <c r="CE4" s="5" t="s">
        <v>2041</v>
      </c>
      <c r="CF4" s="5" t="s">
        <v>2042</v>
      </c>
      <c r="CG4" s="5" t="s">
        <v>2043</v>
      </c>
      <c r="CH4" s="5" t="s">
        <v>2044</v>
      </c>
      <c r="CI4" s="5" t="s">
        <v>2045</v>
      </c>
      <c r="CJ4" s="5" t="s">
        <v>2046</v>
      </c>
      <c r="CK4" s="5" t="s">
        <v>2047</v>
      </c>
      <c r="CL4" s="5" t="s">
        <v>2048</v>
      </c>
      <c r="CM4" s="5" t="s">
        <v>2049</v>
      </c>
      <c r="CN4" s="5" t="s">
        <v>2050</v>
      </c>
      <c r="CO4" s="5" t="s">
        <v>2051</v>
      </c>
      <c r="CP4" s="5" t="s">
        <v>2052</v>
      </c>
      <c r="CQ4" s="5" t="s">
        <v>2053</v>
      </c>
    </row>
    <row r="6" spans="2:95">
      <c r="B6" s="5" t="str" cm="1">
        <f t="array" ref="B6:B94">TRANSPOSE(B2:CL2)</f>
        <v>端 泰志(Yasushi HATA) &lt;yasushi_hata@ha.daifuku.co.jp&gt;</v>
      </c>
      <c r="E6" s="5" t="str" cm="1">
        <f t="array" ref="E6:E102">TRANSPOSE(C4:CU4)</f>
        <v>佐藤 加代(Kayo SATO) &lt;kayo_sato@ha.daifuku.co.jp&gt;</v>
      </c>
    </row>
    <row r="7" spans="2:95">
      <c r="B7" s="5" t="str">
        <v xml:space="preserve"> 三原 靖弘(Yasuhiro MIHARA) &lt;yasuhiro_mihara@ha.daifuku.co.jp&gt;</v>
      </c>
      <c r="E7" s="5" t="str">
        <v xml:space="preserve"> 谷地 照子(Teruko YACHI) &lt;teruko_yachi@ha.daifuku.co.jp&gt;</v>
      </c>
    </row>
    <row r="8" spans="2:95">
      <c r="B8" s="5" t="str">
        <v xml:space="preserve"> 早川 直希(Naoki HAYAKAWA) &lt;naoki_hayakawa@ha.daifuku.co.jp&gt;</v>
      </c>
      <c r="E8" s="5" t="str">
        <v xml:space="preserve"> 北詰 由紀子(Yukiko KOIKE) &lt;yukiko_koike@ha.daifuku.co.jp&gt;</v>
      </c>
    </row>
    <row r="9" spans="2:95">
      <c r="B9" s="5" t="str">
        <v xml:space="preserve"> 山内 光夫(Mitsuo YAMAUCHI) &lt;mitsuo_yamauchi@ha.daifuku.co.jp&gt;</v>
      </c>
      <c r="E9" s="5" t="str">
        <v xml:space="preserve"> 近藤 美樹子(Mikiko KONDOU) &lt;mikiko_kondou@ha.daifuku.co.jp&gt;</v>
      </c>
    </row>
    <row r="10" spans="2:95">
      <c r="B10" s="5" t="str">
        <v xml:space="preserve"> 細木 諒平(Ryouhei HOSOKI) &lt;ryouhei_hosoki@ha.daifuku.co.jp&gt;</v>
      </c>
      <c r="E10" s="5" t="str">
        <v xml:space="preserve"> 櫻井 歩(Ayumu SAKURAI) &lt;ayumu_sakurai@ha.daifuku.co.jp&gt;</v>
      </c>
    </row>
    <row r="11" spans="2:95">
      <c r="B11" s="5" t="str">
        <v xml:space="preserve"> 大河内 勇(Yu OKOUCHI) &lt;yu_okouchi@ha.daifuku.co.jp&gt;</v>
      </c>
      <c r="E11" s="5" t="str">
        <v xml:space="preserve"> 新井 英代(Hideyo ARAI) &lt;hideyo_arai@ha.daifuku.co.jp&gt;</v>
      </c>
    </row>
    <row r="12" spans="2:95">
      <c r="B12" s="5" t="str">
        <v xml:space="preserve"> 梁取 優貴(Yuuki YANADORI) &lt;yuuki_yanadori@ha.daifuku.co.jp&gt;</v>
      </c>
      <c r="E12" s="5" t="str">
        <v xml:space="preserve"> 津久井 直樹(Naoki TSUKUI) &lt;naoki_tsukui@ha.daifuku.co.jp&gt;</v>
      </c>
    </row>
    <row r="13" spans="2:95">
      <c r="B13" s="5" t="str">
        <v xml:space="preserve"> 小亦 志興(Motoki KOMATA) &lt;motoki_komata@ha.daifuku.co.jp&gt;</v>
      </c>
      <c r="E13" s="5" t="str">
        <v xml:space="preserve"> 藤川 真由子(Mayuko FUJIKAWA) &lt;mayuko_fujikawa@ha.daifuku.co.jp&gt;</v>
      </c>
    </row>
    <row r="14" spans="2:95">
      <c r="B14" s="5" t="str">
        <v xml:space="preserve"> 太田 雅博(Masahiro OOTA) &lt;masahiro_oota@ha.daifuku.co.jp&gt;</v>
      </c>
      <c r="E14" s="5" t="str">
        <v xml:space="preserve"> 小原 美希(Miki OBARA) &lt;miki_obara@ha.daifuku.co.jp&gt;</v>
      </c>
    </row>
    <row r="15" spans="2:95">
      <c r="B15" s="5" t="str">
        <v xml:space="preserve"> 古谷野 卓弥(Takuya KOYANO) &lt;takuya_koyano@ha.daifuku.co.jp&gt;</v>
      </c>
      <c r="E15" s="5" t="str">
        <v xml:space="preserve"> 竹内 時央(Tokio TAKEUCHI) &lt;tokio_takeuchi@ha.daifuku.co.jp&gt;</v>
      </c>
    </row>
    <row r="16" spans="2:95">
      <c r="B16" s="5" t="str">
        <v xml:space="preserve"> 日向 翔吾(Syougo HINATA) &lt;syougo_hinata@ha.daifuku.co.jp&gt;</v>
      </c>
      <c r="E16" s="5" t="str">
        <v xml:space="preserve"> 鹿又 綾(Aya KANOMATA) &lt;aya_kanomata@ha.daifuku.co.jp&gt;</v>
      </c>
    </row>
    <row r="17" spans="2:5">
      <c r="B17" s="5" t="str">
        <v xml:space="preserve"> 松永 元気(Genki MATSUNAGA) &lt;genki_matsunaga@ha.daifuku.co.jp&gt;</v>
      </c>
      <c r="E17" s="5" t="str">
        <v xml:space="preserve"> 豊田 航平(Kohei TOYOTA) &lt;kohei_toyota@ha.daifuku.co.jp&gt;</v>
      </c>
    </row>
    <row r="18" spans="2:5">
      <c r="B18" s="5" t="str">
        <v xml:space="preserve"> 重村 和矢(Kazuya SHIGEMURA) &lt;kazuya_shigemura@ha.daifuku.co.jp&gt;</v>
      </c>
      <c r="E18" s="5" t="str">
        <v xml:space="preserve"> 遠藤 瑠也(Ryuya ENDO) &lt;ryuya_endo@ha.daifuku.co.jp&gt;</v>
      </c>
    </row>
    <row r="19" spans="2:5">
      <c r="B19" s="5" t="str">
        <v xml:space="preserve"> 藤井 基晴(Motoharu FUJII) &lt;motoharu_fujii@ha.daifuku.co.jp&gt;</v>
      </c>
      <c r="E19" s="5" t="str">
        <v xml:space="preserve"> 河野 純(Jun KONO) &lt;jun_kono@ha.daifuku.co.jp&gt;</v>
      </c>
    </row>
    <row r="20" spans="2:5">
      <c r="B20" s="5" t="str">
        <v xml:space="preserve"> 増田 侑規(Yuki MASUDA) &lt;yuki_masuda@ha.daifuku.co.jp&gt;</v>
      </c>
      <c r="E20" s="5" t="str">
        <v xml:space="preserve"> 須野原 淨恵(Kiyoe SUNOHARA) &lt;kiyoe_sunohara@ha.daifuku.co.jp&gt;</v>
      </c>
    </row>
    <row r="21" spans="2:5">
      <c r="B21" s="5" t="str">
        <v xml:space="preserve"> 大谷 真人(Masato OOTANI) &lt;masato_ootani@ha.daifuku.co.jp&gt;</v>
      </c>
      <c r="E21" s="5" t="str">
        <v xml:space="preserve"> 齊藤 千恵(Chie SAITO) &lt;chie_saito@ha.daifuku.co.jp&gt;</v>
      </c>
    </row>
    <row r="22" spans="2:5">
      <c r="B22" s="5" t="str">
        <v xml:space="preserve"> 曽我部 寛之(Hiroyuki SOGABE) &lt;hiroyuki_sogabe@ha.daifuku.co.jp&gt;</v>
      </c>
      <c r="E22" s="5" t="str">
        <v xml:space="preserve"> 新井 智子(Tomoko ARAI) &lt;tomoko_arai@ha.daifuku.co.jp&gt;</v>
      </c>
    </row>
    <row r="23" spans="2:5">
      <c r="B23" s="5" t="str">
        <v xml:space="preserve"> 増渕 博巳(Hiromi MASUBUCHI) &lt;hiromi_masubuchi@ha.daifuku.co.jp&gt;</v>
      </c>
      <c r="E23" s="5" t="str">
        <v xml:space="preserve"> 中澤 綾香(Ayaka NAKAZAWA) &lt;ayaka_nakazawa-m1@ha.daifuku.co.jp&gt;</v>
      </c>
    </row>
    <row r="24" spans="2:5">
      <c r="B24" s="5" t="str">
        <v xml:space="preserve"> 菊田 武伸(Takenobu KIKUTA) &lt;takenobu_kikuta@ha.daifuku.co.jp&gt;</v>
      </c>
      <c r="E24" s="5" t="str">
        <v xml:space="preserve"> 阿波 千絵(Chie AWA) &lt;chie_awa@ha.daifuku.co.jp&gt;</v>
      </c>
    </row>
    <row r="25" spans="2:5">
      <c r="B25" s="5" t="str">
        <v xml:space="preserve"> 浅野 喬行(Takayuki ASANO) &lt;takayuki_asano@ha.daifuku.co.jp&gt;</v>
      </c>
      <c r="E25" s="5" t="str">
        <v xml:space="preserve"> 高梨 とく江(Tokue TAKANASHI) &lt;tokue_takanashi@ha.daifuku.co.jp&gt;</v>
      </c>
    </row>
    <row r="26" spans="2:5">
      <c r="B26" s="5" t="str">
        <v xml:space="preserve"> 下山 司(Tsukasa SHIMOYAMA) &lt;tsukasa_shimoyama@ha.daifuku.co.jp&gt;</v>
      </c>
      <c r="E26" s="5" t="str">
        <v xml:space="preserve"> 青柳 梢(Kozue AOYAGI) &lt;kozue_aoyagi.da2@ha.daifuku.co.jp&gt;</v>
      </c>
    </row>
    <row r="27" spans="2:5">
      <c r="B27" s="5" t="str">
        <v xml:space="preserve"> 西田 航(Wataru NISHIDA) &lt;wataru_nishida@ha.daifuku.co.jp&gt;</v>
      </c>
      <c r="E27" s="5" t="str">
        <v xml:space="preserve"> 浅野 愛美(Manami ASANO) &lt;manami_asano@ha.daifuku.co.jp&gt;</v>
      </c>
    </row>
    <row r="28" spans="2:5">
      <c r="B28" s="5" t="str">
        <v xml:space="preserve"> 大矢 恭平(Kyouhei OYA) &lt;kyouhei_oya@ha.daifuku.co.jp&gt;</v>
      </c>
      <c r="E28" s="5" t="str">
        <v xml:space="preserve"> 冨永 清美(Kiyomi TOMINAGA) &lt;kiyomi_tominaga@ha.daifuku.co.jp&gt;</v>
      </c>
    </row>
    <row r="29" spans="2:5">
      <c r="B29" s="5" t="str">
        <v xml:space="preserve"> 大朝 洋平(Youhei OOTOMO) &lt;youhei_ootomo@ha.daifuku.co.jp&gt;</v>
      </c>
      <c r="E29" s="5" t="str">
        <v xml:space="preserve"> 前田 朋子(Tomoko MAEDA) &lt;tomoko_maeda@ha.daifuku.co.jp&gt;</v>
      </c>
    </row>
    <row r="30" spans="2:5">
      <c r="B30" s="5" t="str">
        <v xml:space="preserve"> 田村 大樹(Hiroki TAMURA) &lt;hiroki_tamura@ha.daifuku.co.jp&gt;</v>
      </c>
      <c r="E30" s="5" t="str">
        <v xml:space="preserve"> 伊藤 彩子(Ayako FUKUYAMA) &lt;ayako_fukuyama@ha.daifuku.co.jp&gt;</v>
      </c>
    </row>
    <row r="31" spans="2:5">
      <c r="B31" s="5" t="str">
        <v xml:space="preserve"> 山下 賢(Ken YAMASHITA) &lt;ken_yamashita@ha.daifuku.co.jp&gt;</v>
      </c>
      <c r="E31" s="5" t="str">
        <v xml:space="preserve"> 青沼 麻智子(Machiko AONUMA) &lt;machiko_aonuma@ha.daifuku.co.jp&gt;</v>
      </c>
    </row>
    <row r="32" spans="2:5">
      <c r="B32" s="5" t="str">
        <v xml:space="preserve"> 古川 悠斗(Yuto FURUKAWA) &lt;yuto_furukawa@ha.daifuku.co.jp&gt;</v>
      </c>
      <c r="E32" s="5" t="str">
        <v xml:space="preserve"> 田代 圭子(Keiko TASHIRO) &lt;keiko_tashiro@ha.daifuku.co.jp&gt;</v>
      </c>
    </row>
    <row r="33" spans="2:5">
      <c r="B33" s="5" t="str">
        <v xml:space="preserve"> 志村 航平(Kouhei SHIMURA) &lt;kouhei_shimura@ha.daifuku.co.jp&gt;</v>
      </c>
      <c r="E33" s="5" t="str">
        <v xml:space="preserve"> 高木 佑輔(Yusuke TAKAKI) &lt;yusuke_takaki@ha.daifuku.co.jp&gt;</v>
      </c>
    </row>
    <row r="34" spans="2:5">
      <c r="B34" s="5" t="str">
        <v xml:space="preserve"> 川島 徹哉(Tetsuya KAWASHIMA) &lt;tetsuya_kawashima@ha.daifuku.co.jp&gt;</v>
      </c>
      <c r="E34" s="5" t="str">
        <v xml:space="preserve"> 和泉 真由美(Mayumi IZUMI) &lt;mayumi_izumi@ha.daifuku.co.jp&gt;</v>
      </c>
    </row>
    <row r="35" spans="2:5">
      <c r="B35" s="5" t="str">
        <v xml:space="preserve"> 丹下 将成(Masanari TANNGE) &lt;masanari_tannge@ha.daifuku.co.jp&gt;</v>
      </c>
      <c r="E35" s="5" t="str">
        <v xml:space="preserve"> 小俣 麗(Rei OMATA) &lt;rei_omata.da2@ha.daifuku.co.jp&gt;</v>
      </c>
    </row>
    <row r="36" spans="2:5">
      <c r="B36" s="5" t="str">
        <v xml:space="preserve"> 森 俊輔(Shunsuke MORI) &lt;shunsuke_mori@ha.daifuku.co.jp&gt;</v>
      </c>
      <c r="E36" s="5" t="str">
        <v xml:space="preserve"> 佐藤 千恵(Chie SATO) &lt;chie_sato@ha.daifuku.co.jp&gt;</v>
      </c>
    </row>
    <row r="37" spans="2:5">
      <c r="B37" s="5" t="str">
        <v xml:space="preserve"> 横田 暁(Akira YOKOTA) &lt;akira_yokota@ha.daifuku.co.jp&gt;</v>
      </c>
      <c r="E37" s="5" t="str">
        <v xml:space="preserve"> 鍵本 和幸(Kazuyuki KAGIMOTO) &lt;kazuyuki_kagimoto@ha.daifuku.co.jp&gt;</v>
      </c>
    </row>
    <row r="38" spans="2:5">
      <c r="B38" s="5" t="str">
        <v xml:space="preserve"> 島田 理基(Masaki SHIMADA) &lt;masaki_shimada@ha.daifuku.co.jp&gt;</v>
      </c>
      <c r="E38" s="5" t="str">
        <v xml:space="preserve"> 黒羽 由美(Yumi KUROHA) &lt;yumi_kuroha@ha.daifuku.co.jp&gt;</v>
      </c>
    </row>
    <row r="39" spans="2:5">
      <c r="B39" s="5" t="str">
        <v xml:space="preserve"> 石井 湧人(Yuto ISHII) &lt;yuto_ishii@ha.daifuku.co.jp&gt;</v>
      </c>
      <c r="E39" s="5" t="str">
        <v xml:space="preserve"> 菊田 紀子(Noriko KIKUTA) &lt;noriko_kikuta@ha.daifuku.co.jp&gt;</v>
      </c>
    </row>
    <row r="40" spans="2:5">
      <c r="B40" s="5" t="str">
        <v xml:space="preserve"> 川本 亨(Akira KAWAMOTO) &lt;akira_kawamoto@ha.daifuku.co.jp&gt;</v>
      </c>
      <c r="E40" s="5" t="str">
        <v xml:space="preserve"> 小堀 隆朗(Takaaki KOBORI) &lt;takaaki_kobori@ha.daifuku.co.jp&gt;</v>
      </c>
    </row>
    <row r="41" spans="2:5">
      <c r="B41" s="5" t="str">
        <v xml:space="preserve"> 坂本 浩基(Hiroki SAKAMOTO) &lt;hiroki_sakamoto-m1@ha.daifuku.co.jp&gt;</v>
      </c>
      <c r="E41" s="5" t="str">
        <v xml:space="preserve"> 鈴木 裕美(Hiromi SUZUKI) &lt;hiromi_suzuki@ha.daifuku.co.jp&gt;</v>
      </c>
    </row>
    <row r="42" spans="2:5">
      <c r="B42" s="5" t="str">
        <v xml:space="preserve"> 浅川 宜隆(Yoshitaka ASAKAWA) &lt;yoshitaka_asakawa@ha.daifuku.co.jp&gt;</v>
      </c>
      <c r="E42" s="5" t="str">
        <v xml:space="preserve"> 清水 珠美(Tamami SHIMIZU) &lt;tamami_shimizu@ha.daifuku.co.jp&gt;</v>
      </c>
    </row>
    <row r="43" spans="2:5">
      <c r="B43" s="5" t="str">
        <v xml:space="preserve"> 木村 光(Akira KIMURA) &lt;akira_kimura@ha.daifuku.co.jp&gt;</v>
      </c>
      <c r="E43" s="5" t="str">
        <v xml:space="preserve"> 芳澤 和子(Kazuko YOSHIZAWA) &lt;kazuko_yoshizawa@ha.daifuku.co.jp&gt;</v>
      </c>
    </row>
    <row r="44" spans="2:5">
      <c r="B44" s="5" t="str">
        <v xml:space="preserve"> 井口 亮(Ryo IGUCHI) &lt;ryo_iguchi@ha.daifuku.co.jp&gt;</v>
      </c>
      <c r="E44" s="5" t="str">
        <v xml:space="preserve"> 小林 麻由美(Mayumi KOBAYASHI) &lt;mayumi_kobayashi@ha.daifuku.co.jp&gt;</v>
      </c>
    </row>
    <row r="45" spans="2:5">
      <c r="B45" s="5" t="str">
        <v xml:space="preserve"> 森武 光平(Kouhei MORITAKE) &lt;kouhei_moritake@ha.daifuku.co.jp&gt;</v>
      </c>
      <c r="E45" s="5" t="str">
        <v xml:space="preserve"> 和田 宏子(Hiroko WADA) &lt;hiroko_wada@ha.daifuku.co.jp&gt;</v>
      </c>
    </row>
    <row r="46" spans="2:5">
      <c r="B46" s="5" t="str">
        <v xml:space="preserve"> 山田 雅博(Masahiro YAMADA) &lt;masahiro_yamada@ha.daifuku.co.jp&gt;</v>
      </c>
      <c r="E46" s="5" t="str">
        <v xml:space="preserve"> 福岡 久美子(Kumiko FUKUOKA) &lt;kumiko_fukuoka-m1@ha.daifuku.co.jp&gt;</v>
      </c>
    </row>
    <row r="47" spans="2:5">
      <c r="B47" s="5" t="str">
        <v xml:space="preserve"> 大川 浄也(Jyouya OKAWA) &lt;jyouya_okawa@ha.daifuku.co.jp&gt;</v>
      </c>
      <c r="E47" s="5" t="str">
        <v xml:space="preserve"> 太田 麻美(Asami OTA) &lt;asami_ota@ha.daifuku.co.jp&gt;</v>
      </c>
    </row>
    <row r="48" spans="2:5">
      <c r="B48" s="5" t="str">
        <v xml:space="preserve"> 中野 祐一(Yuichi NAKANO) &lt;yuichi_nakano@ha.daifuku.co.jp&gt;</v>
      </c>
      <c r="E48" s="5" t="str">
        <v xml:space="preserve"> 青木 あや子(Ayako AOKI) &lt;ayako_aoki@ha.daifuku.co.jp&gt;</v>
      </c>
    </row>
    <row r="49" spans="2:5">
      <c r="B49" s="5" t="str">
        <v xml:space="preserve"> 小林 徹也(Tetsuya KOBAYASI) &lt;tetsuya_kobayasi@ha.daifuku.co.jp&gt;</v>
      </c>
      <c r="E49" s="5" t="str">
        <v xml:space="preserve"> 大竹 友美(Tomomi OTAKE) &lt;tomomi_otake@ha.daifuku.co.jp&gt;</v>
      </c>
    </row>
    <row r="50" spans="2:5">
      <c r="B50" s="5" t="str">
        <v xml:space="preserve"> 小川 紘平(Kohei OGAWA) &lt;kohei_ogawa@ha.daifuku.co.jp&gt;</v>
      </c>
      <c r="E50" s="5" t="str">
        <v xml:space="preserve"> 田中 由美(Yumi TANAKA) &lt;yumi_tanaka@ha.daifuku.co.jp&gt;</v>
      </c>
    </row>
    <row r="51" spans="2:5">
      <c r="B51" s="5" t="str">
        <v xml:space="preserve"> 向川 英希(Hideki MUKAIGAWA) &lt;hideki_mukaigawa@ha.daifuku.co.jp&gt;</v>
      </c>
      <c r="E51" s="5" t="str">
        <v xml:space="preserve"> 塚本 里沙(Risa TSUKAMOTO) &lt;risa_tsukamoto@ha.daifuku.co.jp&gt;</v>
      </c>
    </row>
    <row r="52" spans="2:5">
      <c r="B52" s="5" t="str">
        <v xml:space="preserve"> 玉井 正輝(Masaki TAMAI) &lt;masaki_tamai@ha.daifuku.co.jp&gt;</v>
      </c>
      <c r="E52" s="5" t="str">
        <v xml:space="preserve"> 原 久美子(Kumiko HARA) &lt;kumiko_hara.da2@ha.daifuku.co.jp&gt;</v>
      </c>
    </row>
    <row r="53" spans="2:5">
      <c r="B53" s="5" t="str">
        <v xml:space="preserve"> 近藤 啓介(Keisuke KONDO) &lt;keisuke_kondo@ha.daifuku.co.jp&gt;</v>
      </c>
      <c r="E53" s="5" t="str">
        <v xml:space="preserve"> 村田 美紀(Miki OHTA) &lt;miki_ohta@ha.daifuku.co.jp&gt;</v>
      </c>
    </row>
    <row r="54" spans="2:5">
      <c r="B54" s="5" t="str">
        <v xml:space="preserve"> 山下 圭祐(Keisuke YAMASHITA) &lt;keisuke_yamashita@ha.daifuku.co.jp&gt;</v>
      </c>
      <c r="E54" s="5" t="str">
        <v xml:space="preserve"> 久保田 友美(Tomomi KUBOTA) &lt;tomomi_kubota@ha.daifuku.co.jp&gt;</v>
      </c>
    </row>
    <row r="55" spans="2:5">
      <c r="B55" s="5" t="str">
        <v xml:space="preserve"> 相宮 健一(Kenichi AIMIYA) &lt;kenichi_aimiya@ha.daifuku.co.jp&gt;</v>
      </c>
      <c r="E55" s="5" t="str">
        <v xml:space="preserve"> 高瀬 弓利子(Yuriko TAKASE) &lt;yuriko_takase@ha.daifuku.co.jp&gt;</v>
      </c>
    </row>
    <row r="56" spans="2:5">
      <c r="B56" s="5" t="str">
        <v xml:space="preserve"> 中尾 僚太(Ryouta NAKAO) &lt;ryouta_nakao@ha.daifuku.co.jp&gt;</v>
      </c>
      <c r="E56" s="5" t="str">
        <v xml:space="preserve"> 石崎 竜次(Ryuuji ISHIZAKI) &lt;ryuuji_ishizaki@ha.daifuku.co.jp&gt;</v>
      </c>
    </row>
    <row r="57" spans="2:5">
      <c r="B57" s="5" t="str">
        <v xml:space="preserve"> 秋田 峻(Syun AKITA) &lt;syun_akita@ha.daifuku.co.jp&gt;</v>
      </c>
      <c r="E57" s="5" t="str">
        <v xml:space="preserve"> 中川 美佐子(Misako NAKAGAWA) &lt;misako_nakagawa@ha.daifuku.co.jp&gt;</v>
      </c>
    </row>
    <row r="58" spans="2:5">
      <c r="B58" s="5" t="str">
        <v xml:space="preserve"> 三崎 敬祐(Keisuke MISAKI) &lt;keisuke_misaki@ha.daifuku.co.jp&gt;</v>
      </c>
      <c r="E58" s="5" t="str">
        <v xml:space="preserve"> 橋本 康平(Kouhei HASHIMOTO) &lt;kouhei_hashimoto@ha.daifuku.co.jp&gt;</v>
      </c>
    </row>
    <row r="59" spans="2:5">
      <c r="B59" s="5" t="str">
        <v xml:space="preserve"> 松井 翼(Tsubasa MATSUI) &lt;tsubasa_matsui@ha.daifuku.co.jp&gt;</v>
      </c>
      <c r="E59" s="5" t="str">
        <v xml:space="preserve"> 重野 紀子(Noriko SHIGENO) &lt;noriko_shigeno.da2@ha.daifuku.co.jp&gt;</v>
      </c>
    </row>
    <row r="60" spans="2:5">
      <c r="B60" s="5" t="str">
        <v xml:space="preserve"> 中平 貴之(Takayuki NAKAHIRA) &lt;takayuki_nakahira@ha.daifuku.co.jp&gt;</v>
      </c>
      <c r="E60" s="5" t="str">
        <v xml:space="preserve"> 福井 美帆(Miho FUKUI) &lt;miho_fukui@ha.daifuku.co.jp&gt;</v>
      </c>
    </row>
    <row r="61" spans="2:5">
      <c r="B61" s="5" t="str">
        <v xml:space="preserve"> 横田 拓也(Takuya YOKOTA) &lt;takuya_yokota@ha.daifuku.co.jp&gt;</v>
      </c>
      <c r="E61" s="5" t="str">
        <v xml:space="preserve"> 橋本 こずえ(Kozue HASHIMOTO) &lt;kozue_hashimoto@ha.daifuku.co.jp&gt;</v>
      </c>
    </row>
    <row r="62" spans="2:5">
      <c r="B62" s="5" t="str">
        <v xml:space="preserve"> 土岐 典大(Norihiro TOKI) &lt;norihiro_toki@ha.daifuku.co.jp&gt;</v>
      </c>
      <c r="E62" s="5" t="str">
        <v xml:space="preserve"> 中野 千恵美(Chiemi NAKANO) &lt;chiemi_nakano@ha.daifuku.co.jp&gt;</v>
      </c>
    </row>
    <row r="63" spans="2:5">
      <c r="B63" s="5" t="str">
        <v xml:space="preserve"> 石井 博基(Hiroki ISHII) &lt;hiroki_ishii@ha.daifuku.co.jp&gt;</v>
      </c>
      <c r="E63" s="5" t="str">
        <v xml:space="preserve"> 島川 直人(Naoto SHIMAKAWA) &lt;naoto_shimakawa@ha.daifuku.co.jp&gt;</v>
      </c>
    </row>
    <row r="64" spans="2:5">
      <c r="B64" s="5" t="str">
        <v xml:space="preserve"> 稲山 裕樹(Yuuki INEYAMA) &lt;yuuki_ineyama@ha.daifuku.co.jp&gt;</v>
      </c>
      <c r="E64" s="5" t="str">
        <v xml:space="preserve"> 藤吉 麻衣(Mai FUJIYOSHI) &lt;mai_fujiyoshi@ha.daifuku.co.jp&gt;</v>
      </c>
    </row>
    <row r="65" spans="2:5">
      <c r="B65" s="5" t="str">
        <v xml:space="preserve"> 西富 祐介(Yusuke NISHITOMI) &lt;yusuke_nishitomi@ha.daifuku.co.jp&gt;</v>
      </c>
      <c r="E65" s="5" t="str">
        <v xml:space="preserve"> 春岡 風太(Futa HARUOKA) &lt;futa_haruoka@ha.daifuku.co.jp&gt;</v>
      </c>
    </row>
    <row r="66" spans="2:5">
      <c r="B66" s="5" t="str">
        <v xml:space="preserve"> 岡野 淳(Atsushi OKANO) &lt;atsushi_okano@ha.daifuku.co.jp&gt;</v>
      </c>
      <c r="E66" s="5" t="str">
        <v xml:space="preserve"> 中下 将希(Masaki NAKASHITA) &lt;masaki_nakashita@ha.daifuku.co.jp&gt;</v>
      </c>
    </row>
    <row r="67" spans="2:5">
      <c r="B67" s="5" t="str">
        <v xml:space="preserve"> 水野 裕喜(Hiroki MIZUNO) &lt;hiroki_mizuno@ha.daifuku.co.jp&gt;</v>
      </c>
      <c r="E67" s="5" t="str">
        <v xml:space="preserve"> 清水 寛子(Hiroko SHIMIZU) &lt;hiroko_shimizu@ha.daifuku.co.jp&gt;</v>
      </c>
    </row>
    <row r="68" spans="2:5">
      <c r="B68" s="5" t="str">
        <v xml:space="preserve"> 馬場 大輔(Daisuke BABA) &lt;daisuke_baba@ha.daifuku.co.jp&gt;</v>
      </c>
      <c r="E68" s="5" t="str">
        <v xml:space="preserve"> 大廣 直子(Naoko OHIRO) &lt;naoko_ohiro@ha.daifuku.co.jp&gt;</v>
      </c>
    </row>
    <row r="69" spans="2:5">
      <c r="B69" s="5" t="str">
        <v xml:space="preserve"> 今吉 貴亮(Takaaki IMAYOSHI) &lt;takaaki_imayoshi@ha.daifuku.co.jp&gt;</v>
      </c>
      <c r="E69" s="5" t="str">
        <v xml:space="preserve"> 今井 与志子(Yoshiko IMAI) &lt;yoshiko_imai@ha.daifuku.co.jp&gt;</v>
      </c>
    </row>
    <row r="70" spans="2:5">
      <c r="B70" s="5" t="str">
        <v xml:space="preserve"> 大越 卓也(Takuya OGOSHI) &lt;takuya_ogoshi@ha.daifuku.co.jp&gt;</v>
      </c>
      <c r="E70" s="5" t="str">
        <v xml:space="preserve"> 古澤 弥生(Yayoi FURUSAWA) &lt;yayoi_furusawa-m1@ha.daifuku.co.jp&gt;</v>
      </c>
    </row>
    <row r="71" spans="2:5">
      <c r="B71" s="5" t="str">
        <v xml:space="preserve"> 小田 龍也(Tatsuya ODA) &lt;tatsuya_oda@ha.daifuku.co.jp&gt;</v>
      </c>
      <c r="E71" s="5" t="str">
        <v xml:space="preserve"> 増田 友也(Yuuya MASUDA) &lt;yuuya_masuda@ha.daifuku.co.jp&gt;</v>
      </c>
    </row>
    <row r="72" spans="2:5">
      <c r="B72" s="5" t="str">
        <v xml:space="preserve"> 山村 将之(Masashi YAMAMURA) &lt;masashi_yamamura@ha.daifuku.co.jp&gt;</v>
      </c>
      <c r="E72" s="5" t="str">
        <v xml:space="preserve"> 西村 智恵子(Chieko NISHIMURA) &lt;chieko_nishimura@ha.daifuku.co.jp&gt;</v>
      </c>
    </row>
    <row r="73" spans="2:5">
      <c r="B73" s="5" t="str">
        <v xml:space="preserve"> 木下 勇生(Yuki KINOSHITA) &lt;yuki_kinoshita@ha.daifuku.co.jp&gt;</v>
      </c>
      <c r="E73" s="5" t="str">
        <v xml:space="preserve"> 吉川 侑吾(Yugo YOSHIKAWA) &lt;yugo_yoshikawa@ha.daifuku.co.jp&gt;</v>
      </c>
    </row>
    <row r="74" spans="2:5">
      <c r="B74" s="5" t="str">
        <v xml:space="preserve"> 森本 和希(Kazuki MORIMOTO) &lt;kazuki_morimoto-m1@ha.daifuku.co.jp&gt;</v>
      </c>
      <c r="E74" s="5" t="str">
        <v xml:space="preserve"> 足立 優子(Yuko ADACHI) &lt;yuko_adachi@ha.daifuku.co.jp&gt;</v>
      </c>
    </row>
    <row r="75" spans="2:5">
      <c r="B75" s="5" t="str">
        <v xml:space="preserve"> 広瀬 敦憲(Atsunori HIROSE) &lt;atsunori_hirose@ha.daifuku.co.jp&gt;</v>
      </c>
      <c r="E75" s="5" t="str">
        <v xml:space="preserve"> 山﨑 朋子(Tomoko YAMASAKI) &lt;tomoko_yamasaki@ha.daifuku.co.jp&gt;</v>
      </c>
    </row>
    <row r="76" spans="2:5">
      <c r="B76" s="5" t="str">
        <v xml:space="preserve"> 溝畑 宏隆(Hirotaka MIZOBATA) &lt;hirotaka_mizobata@ha.daifuku.co.jp&gt;</v>
      </c>
      <c r="E76" s="5" t="str">
        <v xml:space="preserve"> 三宅 麻以(Mai MIYAKE) &lt;mai_miyake@ha.daifuku.co.jp&gt;</v>
      </c>
    </row>
    <row r="77" spans="2:5">
      <c r="B77" s="5" t="str">
        <v xml:space="preserve"> 藤澤 良則(Yoshinori FUJISAWA) &lt;yoshinori_fujisawa@ha.daifuku.co.jp&gt;</v>
      </c>
      <c r="E77" s="5" t="str">
        <v xml:space="preserve"> 金海 澪(Rei KANEUMI) &lt;rei_kaneumi@ha.daifuku.co.jp&gt;</v>
      </c>
    </row>
    <row r="78" spans="2:5">
      <c r="B78" s="5" t="str">
        <v xml:space="preserve"> 田代 真也(Shinya TASHIRO) &lt;shinya_tashiro@ha.daifuku.co.jp&gt;</v>
      </c>
      <c r="E78" s="5" t="str">
        <v xml:space="preserve"> 石原 玲子(Reiko ISHIHARA) &lt;reiko_ishihara-m1@ha.daifuku.co.jp&gt;</v>
      </c>
    </row>
    <row r="79" spans="2:5">
      <c r="B79" s="5" t="str">
        <v xml:space="preserve"> 新谷 英也(Hideya SHINTANI) &lt;hideya_shintani@ha.daifuku.co.jp&gt;</v>
      </c>
      <c r="E79" s="5" t="str">
        <v xml:space="preserve"> 松井 やよい(Yayoi MATSUI) &lt;yayoi_matsui@ha.daifuku.co.jp&gt;</v>
      </c>
    </row>
    <row r="80" spans="2:5">
      <c r="B80" s="5" t="str">
        <v xml:space="preserve"> 細田 和裕(Kazuhiro HOSODA) &lt;kazuhiro_hosoda@ha.daifuku.co.jp&gt;</v>
      </c>
      <c r="E80" s="5" t="str">
        <v xml:space="preserve"> 頼実 梨奈(Rina YORIZANE) &lt;rina_yorizane@ha.daifuku.co.jp&gt;</v>
      </c>
    </row>
    <row r="81" spans="2:5">
      <c r="B81" s="5" t="str">
        <v xml:space="preserve"> 河南 基貴(Motoki KANNAN) &lt;motoki_kannan@ha.daifuku.co.jp&gt;</v>
      </c>
      <c r="E81" s="5" t="str">
        <v xml:space="preserve"> 三谷 和彦(Kazuhiko MITANI) &lt;kazuhiko_mitani@ha.daifuku.co.jp&gt;</v>
      </c>
    </row>
    <row r="82" spans="2:5">
      <c r="B82" s="5" t="str">
        <v xml:space="preserve"> 向畑 拓郎(Takurou MUKAIHATA) &lt;takurou_mukaihata@ha.daifuku.co.jp&gt;</v>
      </c>
      <c r="E82" s="5" t="str">
        <v xml:space="preserve"> 河邉 さおり(Saori KAWANABE) &lt;saori_kawanabe@ha.daifuku.co.jp&gt;</v>
      </c>
    </row>
    <row r="83" spans="2:5">
      <c r="B83" s="5" t="str">
        <v xml:space="preserve"> 稲葉 隼人(Hayato INABA) &lt;hayato_inaba@ha.daifuku.co.jp&gt;</v>
      </c>
      <c r="E83" s="5" t="str">
        <v xml:space="preserve"> 鶴身 征也(Seiya TSURUMI) &lt;seiya_tsurumi@ha.daifuku.co.jp&gt;</v>
      </c>
    </row>
    <row r="84" spans="2:5">
      <c r="B84" s="5" t="str">
        <v xml:space="preserve"> 小屋迫 勝彦(Katsuhiko KOYASAKO) &lt;katsuhiko_koyasako@ha.daifuku.co.jp&gt;</v>
      </c>
      <c r="E84" s="5" t="str">
        <v xml:space="preserve"> 平岡 美仁子(Miniko HIRAOKA) &lt;miniko_hiraoka@ha.daifuku.co.jp&gt;</v>
      </c>
    </row>
    <row r="85" spans="2:5">
      <c r="B85" s="5" t="str">
        <v xml:space="preserve"> 末安 輝士(Teruhito SUEYASU) &lt;teruhito_sueyasu@ha.daifuku.co.jp&gt;</v>
      </c>
      <c r="E85" s="5" t="str">
        <v xml:space="preserve"> 藤井 好美(Yoshimi FUJII) &lt;yoshimi_fujii@ha.daifuku.co.jp&gt;</v>
      </c>
    </row>
    <row r="86" spans="2:5">
      <c r="B86" s="5" t="str">
        <v xml:space="preserve"> 小嶋 翔(Syou KOJIMA) &lt;syou_kojima@ha.daifuku.co.jp&gt;</v>
      </c>
      <c r="E86" s="5" t="str">
        <v xml:space="preserve"> 守屋 千恵(Chie MORIYA) &lt;chie_moriya@ha.daifuku.co.jp&gt;</v>
      </c>
    </row>
    <row r="87" spans="2:5">
      <c r="B87" s="5" t="str">
        <v xml:space="preserve"> 吉田 憲博(Norihiro YOSHIDA) &lt;norihiro_yoshida@ha.daifuku.co.jp&gt;</v>
      </c>
      <c r="E87" s="5" t="str">
        <v xml:space="preserve"> 菅野 紋子(Ayako KANNO) &lt;ayako_kanno@ha.daifuku.co.jp&gt;</v>
      </c>
    </row>
    <row r="88" spans="2:5">
      <c r="B88" s="5" t="str">
        <v xml:space="preserve"> 谷口 啓介(Keisuke TANIGUCHI) &lt;keisuke_taniguchi@ha.daifuku.co.jp&gt;</v>
      </c>
      <c r="E88" s="5" t="str">
        <v xml:space="preserve"> 羽渕 和志(Kazusi HABUTI) &lt;kazusi_habuti@ha.daifuku.co.jp&gt;</v>
      </c>
    </row>
    <row r="89" spans="2:5">
      <c r="B89" s="5" t="str">
        <v xml:space="preserve"> 縄田 菖樹(Syouki NAWATA) &lt;syouki_nawata@ha.daifuku.co.jp&gt;</v>
      </c>
      <c r="E89" s="5" t="str">
        <v xml:space="preserve"> 田中 法恵(Norie TANAKA) &lt;norie_tanaka@ha.daifuku.co.jp&gt;</v>
      </c>
    </row>
    <row r="90" spans="2:5">
      <c r="B90" s="5">
        <v>0</v>
      </c>
      <c r="E90" s="5" t="str">
        <v xml:space="preserve"> 高原 千恵(Chie TAKAGAKI) &lt;chie_takagaki@ha.daifuku.co.jp&gt;</v>
      </c>
    </row>
    <row r="91" spans="2:5">
      <c r="B91" s="5">
        <v>0</v>
      </c>
      <c r="E91" s="5" t="str">
        <v xml:space="preserve"> 新宮 ひとみ(Hitomi SHINGUU) &lt;hitomi_shinguu@ha.daifuku.co.jp&gt;</v>
      </c>
    </row>
    <row r="92" spans="2:5">
      <c r="B92" s="5">
        <v>0</v>
      </c>
      <c r="E92" s="5" t="str">
        <v xml:space="preserve"> 田中 由香里(Yukari TANAKA) &lt;yukari_tanaka@ha.daifuku.co.jp&gt;</v>
      </c>
    </row>
    <row r="93" spans="2:5">
      <c r="B93" s="5">
        <v>0</v>
      </c>
      <c r="E93" s="5" t="str">
        <v xml:space="preserve"> 清水 富美子(Tomiko SIMIZU) &lt;tomiko_simizu@ha.daifuku.co.jp&gt;</v>
      </c>
    </row>
    <row r="94" spans="2:5">
      <c r="B94" s="5">
        <v>0</v>
      </c>
      <c r="E94" s="5" t="str">
        <v xml:space="preserve"> 住山 岳彬(Takeaki SUMIYAMA) &lt;takeaki_sumiyama@ha.daifuku.co.jp&gt;</v>
      </c>
    </row>
    <row r="95" spans="2:5">
      <c r="E95" s="5" t="str">
        <v xml:space="preserve"> 福原 優子(Yuko FUKUHARA) &lt;yuko_fukuhara@ha.daifuku.co.jp&gt;</v>
      </c>
    </row>
    <row r="96" spans="2:5">
      <c r="E96" s="5" t="str">
        <v xml:space="preserve"> 青木 奈津子(Natsuko AOKI) &lt;natsuko_aoki@ha.daifuku.co.jp&gt;</v>
      </c>
    </row>
    <row r="97" spans="5:5">
      <c r="E97" s="5" t="str">
        <v xml:space="preserve"> 小野 幸子(Sachiko ONO) &lt;sachiko_ono@ha.daifuku.co.jp&gt;</v>
      </c>
    </row>
    <row r="98" spans="5:5">
      <c r="E98" s="5" t="str">
        <v xml:space="preserve"> 種田 杏子(Kyoko TANEDA) &lt;kyoko_taneda@ha.daifuku.co.jp&gt;</v>
      </c>
    </row>
    <row r="99" spans="5:5">
      <c r="E99" s="5">
        <v>0</v>
      </c>
    </row>
    <row r="100" spans="5:5">
      <c r="E100" s="5">
        <v>0</v>
      </c>
    </row>
    <row r="101" spans="5:5">
      <c r="E101" s="5">
        <v>0</v>
      </c>
    </row>
    <row r="102" spans="5:5">
      <c r="E102" s="5">
        <v>0</v>
      </c>
    </row>
  </sheetData>
  <phoneticPr fontId="4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0</xdr:col>
                    <xdr:colOff>209550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209550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0</xdr:col>
                    <xdr:colOff>209550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0</xdr:col>
                    <xdr:colOff>209550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0</xdr:col>
                    <xdr:colOff>209550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Check Box 6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0</xdr:col>
                    <xdr:colOff>209550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Check Box 7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0</xdr:col>
                    <xdr:colOff>209550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Check Box 8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0</xdr:col>
                    <xdr:colOff>209550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Check Box 9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0</xdr:col>
                    <xdr:colOff>209550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Check Box 10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0</xdr:col>
                    <xdr:colOff>209550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Check Box 11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0</xdr:col>
                    <xdr:colOff>209550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Check Box 12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0</xdr:col>
                    <xdr:colOff>209550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Check Box 13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0</xdr:col>
                    <xdr:colOff>209550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Check Box 14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0</xdr:col>
                    <xdr:colOff>209550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Check Box 15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0</xdr:col>
                    <xdr:colOff>209550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8" name="Check Box 16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0</xdr:col>
                    <xdr:colOff>209550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9" name="Check Box 17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0</xdr:col>
                    <xdr:colOff>209550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0" name="Check Box 18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0</xdr:col>
                    <xdr:colOff>209550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1" name="Check Box 19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0</xdr:col>
                    <xdr:colOff>209550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2" name="Check Box 20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0</xdr:col>
                    <xdr:colOff>209550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3" name="Check Box 21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0</xdr:col>
                    <xdr:colOff>209550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4" name="Check Box 22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0</xdr:col>
                    <xdr:colOff>209550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5" name="Check Box 23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0</xdr:col>
                    <xdr:colOff>209550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6" name="Check Box 24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0</xdr:col>
                    <xdr:colOff>209550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7" name="Check Box 25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0</xdr:col>
                    <xdr:colOff>209550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8" name="Check Box 26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0</xdr:col>
                    <xdr:colOff>209550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9" name="Check Box 27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0</xdr:col>
                    <xdr:colOff>209550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0" name="Check Box 2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0</xdr:col>
                    <xdr:colOff>209550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1" name="Check Box 29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0</xdr:col>
                    <xdr:colOff>209550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2" name="Check Box 30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0</xdr:col>
                    <xdr:colOff>209550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3" name="Check Box 3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0</xdr:col>
                    <xdr:colOff>209550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0</xdr:col>
                    <xdr:colOff>209550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0</xdr:col>
                    <xdr:colOff>209550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6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0</xdr:col>
                    <xdr:colOff>209550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7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0</xdr:col>
                    <xdr:colOff>209550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8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0</xdr:col>
                    <xdr:colOff>209550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9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0</xdr:col>
                    <xdr:colOff>209550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0" name="Check Box 38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0</xdr:col>
                    <xdr:colOff>209550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1" name="Check Box 39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0</xdr:col>
                    <xdr:colOff>209550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2" name="Check Box 40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0</xdr:col>
                    <xdr:colOff>209550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3" name="Check Box 41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0</xdr:col>
                    <xdr:colOff>209550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4" name="Check Box 4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0</xdr:col>
                    <xdr:colOff>209550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5" name="Check Box 43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0</xdr:col>
                    <xdr:colOff>209550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6" name="Check Box 44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0</xdr:col>
                    <xdr:colOff>209550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7" name="Check Box 45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0</xdr:col>
                    <xdr:colOff>209550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8" name="Check Box 46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0</xdr:col>
                    <xdr:colOff>209550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Check Box 47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0</xdr:col>
                    <xdr:colOff>209550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0" name="Check Box 48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0</xdr:col>
                    <xdr:colOff>209550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1" name="Check Box 49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0</xdr:col>
                    <xdr:colOff>209550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2" name="Check Box 50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0</xdr:col>
                    <xdr:colOff>209550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3" name="Check Box 51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0</xdr:col>
                    <xdr:colOff>209550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4" name="Check Box 52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19050</xdr:rowOff>
                  </from>
                  <to>
                    <xdr:col>1</xdr:col>
                    <xdr:colOff>209550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5" name="Check Box 53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0</xdr:col>
                    <xdr:colOff>209550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6" name="Check Box 54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0</xdr:col>
                    <xdr:colOff>209550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7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0</xdr:col>
                    <xdr:colOff>209550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8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0</xdr:col>
                    <xdr:colOff>209550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9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0</xdr:col>
                    <xdr:colOff>209550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0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0</xdr:col>
                    <xdr:colOff>209550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1" name="Check Box 59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180975</xdr:rowOff>
                  </from>
                  <to>
                    <xdr:col>0</xdr:col>
                    <xdr:colOff>209550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2" name="Check Box 6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209550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3" name="Check Box 61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0</xdr:col>
                    <xdr:colOff>209550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4" name="Check Box 62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0</xdr:col>
                    <xdr:colOff>209550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5" name="Check Box 63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0</xdr:col>
                    <xdr:colOff>209550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6" name="Check Box 64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0</xdr:col>
                    <xdr:colOff>209550</xdr:colOff>
                    <xdr:row>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7" name="Check Box 65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0</xdr:col>
                    <xdr:colOff>209550</xdr:colOff>
                    <xdr:row>80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8" name="Check Box 66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0</xdr:col>
                    <xdr:colOff>209550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9" name="Check Box 67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0</xdr:col>
                    <xdr:colOff>209550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0" name="Check Box 68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0</xdr:col>
                    <xdr:colOff>209550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1" name="Check Box 69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0</xdr:col>
                    <xdr:colOff>209550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2" name="Check Box 70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0</xdr:col>
                    <xdr:colOff>209550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3" name="Check Box 71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0</xdr:col>
                    <xdr:colOff>209550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4" name="Check Box 72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0</xdr:col>
                    <xdr:colOff>209550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5" name="Check Box 73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0</xdr:col>
                    <xdr:colOff>209550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6" name="Check Box 74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0</xdr:col>
                    <xdr:colOff>209550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7" name="Check Box 75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0</xdr:col>
                    <xdr:colOff>209550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8" name="Check Box 76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0</xdr:col>
                    <xdr:colOff>209550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9" name="Check Box 77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0</xdr:col>
                    <xdr:colOff>209550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0" name="Check Box 78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0</xdr:col>
                    <xdr:colOff>209550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1" name="Check Box 79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0</xdr:col>
                    <xdr:colOff>209550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2" name="Check Box 80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0</xdr:col>
                    <xdr:colOff>209550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3" name="Check Box 81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0</xdr:col>
                    <xdr:colOff>209550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4" name="Check Box 82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0</xdr:col>
                    <xdr:colOff>209550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5" name="Check Box 83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0</xdr:col>
                    <xdr:colOff>209550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6" name="Check Box 84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0</xdr:col>
                    <xdr:colOff>209550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7" name="Check Box 85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0</xdr:col>
                    <xdr:colOff>209550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8" name="Check Box 86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0</xdr:col>
                    <xdr:colOff>209550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89" name="Check Box 8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0</xdr:col>
                    <xdr:colOff>209550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0" name="Check Box 8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0</xdr:col>
                    <xdr:colOff>209550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1" name="Check Box 8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28575</xdr:rowOff>
                  </from>
                  <to>
                    <xdr:col>0</xdr:col>
                    <xdr:colOff>209550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2" name="Check Box 90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0</xdr:col>
                    <xdr:colOff>209550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3" name="Check Box 91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0</xdr:col>
                    <xdr:colOff>209550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4" name="Check Box 92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0</xdr:col>
                    <xdr:colOff>209550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5" name="Check Box 93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0</xdr:col>
                    <xdr:colOff>209550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6" name="Check Box 94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0</xdr:col>
                    <xdr:colOff>209550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7" name="Check Box 95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0</xdr:col>
                    <xdr:colOff>209550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8" name="Check Box 96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0</xdr:col>
                    <xdr:colOff>209550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99" name="Check Box 97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0</xdr:col>
                    <xdr:colOff>209550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0" name="Check Box 98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0</xdr:col>
                    <xdr:colOff>209550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1" name="Check Box 99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0</xdr:col>
                    <xdr:colOff>209550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2" name="Check Box 100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0</xdr:col>
                    <xdr:colOff>209550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3" name="Check Box 101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0</xdr:col>
                    <xdr:colOff>209550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4" name="Check Box 102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0</xdr:col>
                    <xdr:colOff>209550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5" name="Check Box 103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0</xdr:col>
                    <xdr:colOff>209550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6" name="Check Box 104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0</xdr:col>
                    <xdr:colOff>209550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7" name="Check Box 105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0</xdr:col>
                    <xdr:colOff>209550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8" name="Check Box 106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0</xdr:col>
                    <xdr:colOff>209550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09" name="Check Box 107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0</xdr:col>
                    <xdr:colOff>209550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0" name="Check Box 108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0</xdr:col>
                    <xdr:colOff>209550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1" name="Check Box 109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0</xdr:col>
                    <xdr:colOff>209550</xdr:colOff>
                    <xdr:row>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2" name="Check Box 110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0</xdr:col>
                    <xdr:colOff>209550</xdr:colOff>
                    <xdr:row>76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3" name="Check Box 111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0</xdr:col>
                    <xdr:colOff>209550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4" name="Check Box 112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0</xdr:col>
                    <xdr:colOff>209550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5" name="Check Box 113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0</xdr:col>
                    <xdr:colOff>209550</xdr:colOff>
                    <xdr:row>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6" name="Check Box 114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0</xdr:col>
                    <xdr:colOff>209550</xdr:colOff>
                    <xdr:row>80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7" name="Check Box 115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0</xdr:col>
                    <xdr:colOff>209550</xdr:colOff>
                    <xdr:row>81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8" name="Check Box 116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0</xdr:col>
                    <xdr:colOff>209550</xdr:colOff>
                    <xdr:row>81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19" name="Check Box 117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0</xdr:col>
                    <xdr:colOff>209550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0" name="Check Box 118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0</xdr:col>
                    <xdr:colOff>209550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1" name="Check Box 119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0</xdr:col>
                    <xdr:colOff>209550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2" name="Check Box 120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0</xdr:col>
                    <xdr:colOff>209550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3" name="Check Box 12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0</xdr:col>
                    <xdr:colOff>209550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4" name="Check Box 122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0</xdr:col>
                    <xdr:colOff>209550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5" name="Check Box 123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0</xdr:col>
                    <xdr:colOff>209550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6" name="Check Box 124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0</xdr:col>
                    <xdr:colOff>209550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7" name="Check Box 125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0</xdr:col>
                    <xdr:colOff>209550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8" name="Check Box 12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0</xdr:col>
                    <xdr:colOff>209550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29" name="Check Box 127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0</xdr:col>
                    <xdr:colOff>209550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0" name="Check Box 128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0</xdr:col>
                    <xdr:colOff>209550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1" name="Check Box 129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0</xdr:col>
                    <xdr:colOff>209550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2" name="Check Box 130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0</xdr:col>
                    <xdr:colOff>209550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3" name="Check Box 131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0</xdr:col>
                    <xdr:colOff>209550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4" name="Check Box 132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0</xdr:col>
                    <xdr:colOff>209550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5" name="Check Box 133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0</xdr:col>
                    <xdr:colOff>209550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宛先リスト</vt:lpstr>
      <vt:lpstr>解約完了連絡リスト</vt:lpstr>
      <vt:lpstr>解約完了連絡テンプレート</vt:lpstr>
      <vt:lpstr>操作説明</vt:lpstr>
      <vt:lpstr>111期アドレス帳</vt:lpstr>
      <vt:lpstr>期変わり対応</vt:lpstr>
      <vt:lpstr>宛先リスト!Print_Area</vt:lpstr>
    </vt:vector>
  </TitlesOfParts>
  <Company>DAIFUKU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027289</dc:creator>
  <cp:lastModifiedBy>山本 美由紀(Miyuki YAMAMOTO)</cp:lastModifiedBy>
  <cp:lastPrinted>2026-03-02T05:57:16Z</cp:lastPrinted>
  <dcterms:created xsi:type="dcterms:W3CDTF">2013-11-22T05:06:34Z</dcterms:created>
  <dcterms:modified xsi:type="dcterms:W3CDTF">2026-06-02T05:14:00Z</dcterms:modified>
</cp:coreProperties>
</file>