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b240489eb54dce" /></Relationships>
</file>

<file path=xl/workbook.xml><?xml version="1.0" encoding="utf-8"?>
<x:workbook xmlns:x="http://schemas.openxmlformats.org/spreadsheetml/2006/main">
  <x:sheets>
    <x:sheet xmlns:r="http://schemas.openxmlformats.org/officeDocument/2006/relationships" name="機能ID・帳票名一覧" sheetId="1" r:id="R9cfef5e3ee184ec0"/>
    <x:sheet xmlns:r="http://schemas.openxmlformats.org/officeDocument/2006/relationships" name="仕様書課題一覧" sheetId="2" r:id="R10f76ee18f134f0a"/>
    <x:sheet xmlns:r="http://schemas.openxmlformats.org/officeDocument/2006/relationships" name="単体テスト目次" sheetId="3" r:id="Re8949fd019ad45e8"/>
    <x:sheet xmlns:r="http://schemas.openxmlformats.org/officeDocument/2006/relationships" name="共通確認" sheetId="4" r:id="R405cda75fd0f48c1"/>
    <x:sheet xmlns:r="http://schemas.openxmlformats.org/officeDocument/2006/relationships" name="MCM1001P_見積依頼書" sheetId="5" r:id="R3f7a7105fa784b1a"/>
    <x:sheet xmlns:r="http://schemas.openxmlformats.org/officeDocument/2006/relationships" name="MCM1002P_見積依頼リスト" sheetId="6" r:id="Re4f85cf150194e84"/>
    <x:sheet xmlns:r="http://schemas.openxmlformats.org/officeDocument/2006/relationships" name="MCM1003P_契約手続依頼書" sheetId="7" r:id="R5fab93ad153549ba"/>
    <x:sheet xmlns:r="http://schemas.openxmlformats.org/officeDocument/2006/relationships" name="MCM0001P_DTS連携情報一覧" sheetId="8" r:id="Rb824b155dc0e478a"/>
    <x:sheet xmlns:r="http://schemas.openxmlformats.org/officeDocument/2006/relationships" name="MCM2001P_店舗見積書類" sheetId="9" r:id="R8cd2a098029c4efd"/>
    <x:sheet xmlns:r="http://schemas.openxmlformats.org/officeDocument/2006/relationships" name="MCM3001P_発注確認書" sheetId="10" r:id="R5690a63271534f87"/>
    <x:sheet xmlns:r="http://schemas.openxmlformats.org/officeDocument/2006/relationships" name="MCM3002P_定期点検DB登録データ" sheetId="11" r:id="Rbe4bcffbb32e4fa5"/>
    <x:sheet xmlns:r="http://schemas.openxmlformats.org/officeDocument/2006/relationships" name="MCM3003P_定期点検リスト" sheetId="12" r:id="Rb9cdabbf9355468b"/>
    <x:sheet xmlns:r="http://schemas.openxmlformats.org/officeDocument/2006/relationships" name="MCM3004P_作業内容一覧" sheetId="13" r:id="Rd6e8652d1d894ee2"/>
    <x:sheet xmlns:r="http://schemas.openxmlformats.org/officeDocument/2006/relationships" name="MCM3005P_支払い明細" sheetId="14" r:id="R2ee702e5579f4d4d"/>
    <x:sheet xmlns:r="http://schemas.openxmlformats.org/officeDocument/2006/relationships" name="統合対応" sheetId="15" r:id="R8023498ae60b4dc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yyyy/mm/dd"/>
  </x:numFmts>
  <x:fonts count="4">
    <x:font>
      <x:sz val="11"/>
      <x:name val="Carlito"/>
    </x:font>
    <x:font>
      <x:sz val="11"/>
      <x:name val="ＭＳ Ｐゴシック"/>
    </x:font>
    <x:font>
      <x:b/>
      <x:sz val="15"/>
      <x:name val="ＭＳ Ｐゴシック"/>
    </x:font>
    <x:font>
      <x:b/>
      <x:sz val="11"/>
      <x:name val="ＭＳ Ｐゴシック"/>
    </x:font>
  </x:fonts>
  <x:fills count="3">
    <x:fill>
      <x:patternFill patternType="none"/>
    </x:fill>
    <x:fill>
      <x:patternFill patternType="gray125"/>
    </x:fill>
    <x:fill>
      <x:patternFill patternType="solid">
        <x:fgColor rgb="FFD9E1F2"/>
      </x:patternFill>
    </x:fill>
  </x:fills>
  <x:borders count="2">
    <x:border/>
    <x:border>
      <x:left style="thin">
        <x:color rgb="FF9CA3AF"/>
      </x:left>
      <x:right style="thin">
        <x:color rgb="FF9CA3AF"/>
      </x:right>
      <x:top style="thin">
        <x:color rgb="FF9CA3AF"/>
      </x:top>
      <x:bottom style="thin">
        <x:color rgb="FF9CA3AF"/>
      </x:bottom>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1" fillId="0" borderId="1"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1" fontId="1"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520d28c5d64749" /><Relationship Type="http://schemas.openxmlformats.org/officeDocument/2006/relationships/theme" Target="/xl/theme/theme1.xml" Id="R6f66566f63e24cd2" /><Relationship Type="http://schemas.openxmlformats.org/officeDocument/2006/relationships/sharedStrings" Target="/xl/sharedStrings.xml" Id="R3f94fac93d644e58" /><Relationship Type="http://schemas.openxmlformats.org/officeDocument/2006/relationships/worksheet" Target="/xl/worksheets/sheet1.xml" Id="R9cfef5e3ee184ec0" /><Relationship Type="http://schemas.openxmlformats.org/officeDocument/2006/relationships/worksheet" Target="/xl/worksheets/sheet2.xml" Id="R10f76ee18f134f0a" /><Relationship Type="http://schemas.openxmlformats.org/officeDocument/2006/relationships/worksheet" Target="/xl/worksheets/sheet3.xml" Id="Re8949fd019ad45e8" /><Relationship Type="http://schemas.openxmlformats.org/officeDocument/2006/relationships/worksheet" Target="/xl/worksheets/sheet4.xml" Id="R405cda75fd0f48c1" /><Relationship Type="http://schemas.openxmlformats.org/officeDocument/2006/relationships/worksheet" Target="/xl/worksheets/sheet5.xml" Id="R3f7a7105fa784b1a" /><Relationship Type="http://schemas.openxmlformats.org/officeDocument/2006/relationships/worksheet" Target="/xl/worksheets/sheet6.xml" Id="Re4f85cf150194e84" /><Relationship Type="http://schemas.openxmlformats.org/officeDocument/2006/relationships/worksheet" Target="/xl/worksheets/sheet7.xml" Id="R5fab93ad153549ba" /><Relationship Type="http://schemas.openxmlformats.org/officeDocument/2006/relationships/worksheet" Target="/xl/worksheets/sheet8.xml" Id="Rb824b155dc0e478a" /><Relationship Type="http://schemas.openxmlformats.org/officeDocument/2006/relationships/worksheet" Target="/xl/worksheets/sheet9.xml" Id="R8cd2a098029c4efd" /><Relationship Type="http://schemas.openxmlformats.org/officeDocument/2006/relationships/worksheet" Target="/xl/worksheets/sheet10.xml" Id="R5690a63271534f87" /><Relationship Type="http://schemas.openxmlformats.org/officeDocument/2006/relationships/worksheet" Target="/xl/worksheets/sheet11.xml" Id="Rbe4bcffbb32e4fa5" /><Relationship Type="http://schemas.openxmlformats.org/officeDocument/2006/relationships/worksheet" Target="/xl/worksheets/sheet12.xml" Id="Rb9cdabbf9355468b" /><Relationship Type="http://schemas.openxmlformats.org/officeDocument/2006/relationships/worksheet" Target="/xl/worksheets/sheet13.xml" Id="Rd6e8652d1d894ee2" /><Relationship Type="http://schemas.openxmlformats.org/officeDocument/2006/relationships/worksheet" Target="/xl/worksheets/sheet14.xml" Id="R2ee702e5579f4d4d" /><Relationship Type="http://schemas.openxmlformats.org/officeDocument/2006/relationships/worksheet" Target="/xl/worksheets/sheet15.xml" Id="R8023498ae60b4dc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34" hidden="0" customWidth="1"/>
    <x:col min="3" max="3" width="18" hidden="0" customWidth="1"/>
    <x:col min="4" max="4" width="20" hidden="0" customWidth="1"/>
    <x:col min="5" max="5" width="60" hidden="0" customWidth="1"/>
    <x:col min="6" max="6" width="64" hidden="0" customWidth="1"/>
    <x:col min="7" max="7" width="40" hidden="0" customWidth="1"/>
    <x:col min="8" max="8" width="12" hidden="0" customWidth="1"/>
    <x:col min="9" max="9" width="14" hidden="0" customWidth="1"/>
    <x:col min="10" max="10" width="15" hidden="0" customWidth="1"/>
    <x:col min="11" max="11" width="40" hidden="0" customWidth="1"/>
    <x:col min="12" max="12" width="14" hidden="0" customWidth="1"/>
    <x:col min="13" max="13" width="17" hidden="0" customWidth="1"/>
    <x:col min="14" max="14" width="17" hidden="0" customWidth="1"/>
    <x:col min="15" max="15" width="13" hidden="0" customWidth="1"/>
    <x:col min="16" max="16" width="54" hidden="0" customWidth="1"/>
  </x:cols>
  <x:sheetData>
    <x:row r="1" ht="26" customHeight="1">
      <x:c r="A1" s="4" t="str">
        <x:v>MCM帳票 単体テスト仕様書（Web版）</x:v>
      </x:c>
      <x:c r="B1" s="4"/>
      <x:c r="C1" s="4"/>
      <x:c r="D1" s="4"/>
      <x:c r="E1" s="4"/>
      <x:c r="F1" s="4"/>
      <x:c r="G1" s="4"/>
      <x:c r="H1" s="4"/>
      <x:c r="I1" s="4"/>
      <x:c r="J1" s="4"/>
      <x:c r="K1" s="4"/>
      <x:c r="L1" s="4"/>
      <x:c r="M1" s="4"/>
      <x:c r="N1" s="4"/>
      <x:c r="O1" s="4"/>
      <x:c r="P1" s="4"/>
    </x:row>
    <x:row r="2">
      <x:c r="A2" s="3"/>
      <x:c r="B2" s="3"/>
      <x:c r="C2" s="3"/>
      <x:c r="D2" s="3"/>
      <x:c r="E2" s="3"/>
      <x:c r="F2" s="3"/>
      <x:c r="G2" s="3"/>
      <x:c r="H2" s="3"/>
      <x:c r="I2" s="3"/>
      <x:c r="J2" s="3"/>
      <x:c r="K2" s="3"/>
      <x:c r="L2" s="3"/>
      <x:c r="M2" s="3"/>
      <x:c r="N2" s="3"/>
      <x:c r="O2" s="3"/>
      <x:c r="P2" s="3"/>
    </x:row>
    <x:row r="3">
      <x:c r="A3" s="3"/>
      <x:c r="B3" s="3"/>
      <x:c r="C3" s="3"/>
      <x:c r="D3" s="3"/>
      <x:c r="E3" s="3"/>
      <x:c r="F3" s="3"/>
      <x:c r="G3" s="3"/>
      <x:c r="H3" s="3"/>
      <x:c r="I3" s="3"/>
      <x:c r="J3" s="3"/>
      <x:c r="K3" s="3"/>
      <x:c r="L3" s="3"/>
      <x:c r="M3" s="3"/>
      <x:c r="N3" s="3"/>
      <x:c r="O3" s="3"/>
      <x:c r="P3" s="3"/>
    </x:row>
    <x:row r="4" ht="28" customHeight="1">
      <x:c r="A4" s="9" t="str">
        <x:v>機能ID</x:v>
      </x:c>
      <x:c r="B4" s="9" t="str">
        <x:v>帳票名</x:v>
      </x:c>
      <x:c r="C4" s="9" t="str">
        <x:v>実施ケース数</x:v>
      </x:c>
      <x:c r="D4" s="9" t="str">
        <x:v>対象形式</x:v>
      </x:c>
      <x:c r="E4" s="3"/>
      <x:c r="F4" s="3"/>
      <x:c r="G4" s="3"/>
      <x:c r="H4" s="3"/>
      <x:c r="I4" s="3"/>
      <x:c r="J4" s="3"/>
      <x:c r="K4" s="3"/>
      <x:c r="L4" s="3"/>
      <x:c r="M4" s="3"/>
      <x:c r="N4" s="3"/>
      <x:c r="O4" s="3"/>
      <x:c r="P4" s="3"/>
    </x:row>
    <x:row r="5">
      <x:c r="A5" s="10" t="str">
        <x:v>MCM1001P</x:v>
      </x:c>
      <x:c r="B5" s="10" t="str">
        <x:v>見積依頼書</x:v>
      </x:c>
      <x:c r="C5" s="10" t="n">
        <x:v>26</x:v>
      </x:c>
      <x:c r="D5" s="10" t="str">
        <x:v>xls</x:v>
      </x:c>
      <x:c r="E5" s="3"/>
      <x:c r="F5" s="3"/>
      <x:c r="G5" s="3"/>
      <x:c r="H5" s="3"/>
      <x:c r="I5" s="3"/>
      <x:c r="J5" s="3"/>
      <x:c r="K5" s="3"/>
      <x:c r="L5" s="3"/>
      <x:c r="M5" s="3"/>
      <x:c r="N5" s="3"/>
      <x:c r="O5" s="3"/>
      <x:c r="P5" s="3"/>
    </x:row>
    <x:row r="6">
      <x:c r="A6" s="10" t="str">
        <x:v>MCM1002P</x:v>
      </x:c>
      <x:c r="B6" s="10" t="str">
        <x:v>見積依頼リスト</x:v>
      </x:c>
      <x:c r="C6" s="10" t="n">
        <x:v>17</x:v>
      </x:c>
      <x:c r="D6" s="10" t="str">
        <x:v>xls</x:v>
      </x:c>
      <x:c r="E6" s="3"/>
      <x:c r="F6" s="3"/>
      <x:c r="G6" s="3"/>
      <x:c r="H6" s="3"/>
      <x:c r="I6" s="3"/>
      <x:c r="J6" s="3"/>
      <x:c r="K6" s="3"/>
      <x:c r="L6" s="3"/>
      <x:c r="M6" s="3"/>
      <x:c r="N6" s="3"/>
      <x:c r="O6" s="3"/>
      <x:c r="P6" s="3"/>
    </x:row>
    <x:row r="7">
      <x:c r="A7" s="10" t="str">
        <x:v>MCM1003P</x:v>
      </x:c>
      <x:c r="B7" s="10" t="str">
        <x:v>契約手続依頼書</x:v>
      </x:c>
      <x:c r="C7" s="10" t="n">
        <x:v>34</x:v>
      </x:c>
      <x:c r="D7" s="10" t="str">
        <x:v>xls</x:v>
      </x:c>
      <x:c r="E7" s="3"/>
      <x:c r="F7" s="3"/>
      <x:c r="G7" s="3"/>
      <x:c r="H7" s="3"/>
      <x:c r="I7" s="3"/>
      <x:c r="J7" s="3"/>
      <x:c r="K7" s="3"/>
      <x:c r="L7" s="3"/>
      <x:c r="M7" s="3"/>
      <x:c r="N7" s="3"/>
      <x:c r="O7" s="3"/>
      <x:c r="P7" s="3"/>
    </x:row>
    <x:row r="8">
      <x:c r="A8" s="10" t="str">
        <x:v>MCM0001P</x:v>
      </x:c>
      <x:c r="B8" s="10" t="str">
        <x:v>DTS連携情報一覧</x:v>
      </x:c>
      <x:c r="C8" s="10" t="n">
        <x:v>14</x:v>
      </x:c>
      <x:c r="D8" s="10" t="str">
        <x:v>xlsx</x:v>
      </x:c>
      <x:c r="E8" s="3"/>
      <x:c r="F8" s="3"/>
      <x:c r="G8" s="3"/>
      <x:c r="H8" s="3"/>
      <x:c r="I8" s="3"/>
      <x:c r="J8" s="3"/>
      <x:c r="K8" s="3"/>
      <x:c r="L8" s="3"/>
      <x:c r="M8" s="3"/>
      <x:c r="N8" s="3"/>
      <x:c r="O8" s="3"/>
      <x:c r="P8" s="3"/>
    </x:row>
    <x:row r="9">
      <x:c r="A9" s="10" t="str">
        <x:v>MCM2001P</x:v>
      </x:c>
      <x:c r="B9" s="10" t="str">
        <x:v>店舗見積書類</x:v>
      </x:c>
      <x:c r="C9" s="10" t="n">
        <x:v>46</x:v>
      </x:c>
      <x:c r="D9" s="10" t="str">
        <x:v>xls</x:v>
      </x:c>
      <x:c r="E9" s="3"/>
      <x:c r="F9" s="3"/>
      <x:c r="G9" s="3"/>
      <x:c r="H9" s="3"/>
      <x:c r="I9" s="3"/>
      <x:c r="J9" s="3"/>
      <x:c r="K9" s="3"/>
      <x:c r="L9" s="3"/>
      <x:c r="M9" s="3"/>
      <x:c r="N9" s="3"/>
      <x:c r="O9" s="3"/>
      <x:c r="P9" s="3"/>
    </x:row>
    <x:row r="10">
      <x:c r="A10" s="10" t="str">
        <x:v>MCM3001P</x:v>
      </x:c>
      <x:c r="B10" s="10" t="str">
        <x:v>発注確認書</x:v>
      </x:c>
      <x:c r="C10" s="10" t="n">
        <x:v>29</x:v>
      </x:c>
      <x:c r="D10" s="10" t="str">
        <x:v>ZIP内xls</x:v>
      </x:c>
      <x:c r="E10" s="3"/>
      <x:c r="F10" s="3"/>
      <x:c r="G10" s="3"/>
      <x:c r="H10" s="3"/>
      <x:c r="I10" s="3"/>
      <x:c r="J10" s="3"/>
      <x:c r="K10" s="3"/>
      <x:c r="L10" s="3"/>
      <x:c r="M10" s="3"/>
      <x:c r="N10" s="3"/>
      <x:c r="O10" s="3"/>
      <x:c r="P10" s="3"/>
    </x:row>
    <x:row r="11">
      <x:c r="A11" s="10" t="str">
        <x:v>MCM3002P</x:v>
      </x:c>
      <x:c r="B11" s="10" t="str">
        <x:v>定期点検DB登録データ</x:v>
      </x:c>
      <x:c r="C11" s="10" t="n">
        <x:v>28</x:v>
      </x:c>
      <x:c r="D11" s="10" t="str">
        <x:v>xls</x:v>
      </x:c>
      <x:c r="E11" s="3"/>
      <x:c r="F11" s="3"/>
      <x:c r="G11" s="3"/>
      <x:c r="H11" s="3"/>
      <x:c r="I11" s="3"/>
      <x:c r="J11" s="3"/>
      <x:c r="K11" s="3"/>
      <x:c r="L11" s="3"/>
      <x:c r="M11" s="3"/>
      <x:c r="N11" s="3"/>
      <x:c r="O11" s="3"/>
      <x:c r="P11" s="3"/>
    </x:row>
    <x:row r="12">
      <x:c r="A12" s="10" t="str">
        <x:v>MCM3003P</x:v>
      </x:c>
      <x:c r="B12" s="10" t="str">
        <x:v>定期点検リスト</x:v>
      </x:c>
      <x:c r="C12" s="10" t="n">
        <x:v>26</x:v>
      </x:c>
      <x:c r="D12" s="10" t="str">
        <x:v>xls</x:v>
      </x:c>
      <x:c r="E12" s="3"/>
      <x:c r="F12" s="3"/>
      <x:c r="G12" s="3"/>
      <x:c r="H12" s="3"/>
      <x:c r="I12" s="3"/>
      <x:c r="J12" s="3"/>
      <x:c r="K12" s="3"/>
      <x:c r="L12" s="3"/>
      <x:c r="M12" s="3"/>
      <x:c r="N12" s="3"/>
      <x:c r="O12" s="3"/>
      <x:c r="P12" s="3"/>
    </x:row>
    <x:row r="13">
      <x:c r="A13" s="10" t="str">
        <x:v>MCM3004P</x:v>
      </x:c>
      <x:c r="B13" s="10" t="str">
        <x:v>作業内容一覧</x:v>
      </x:c>
      <x:c r="C13" s="10" t="n">
        <x:v>43</x:v>
      </x:c>
      <x:c r="D13" s="10" t="str">
        <x:v>xlsx</x:v>
      </x:c>
      <x:c r="E13" s="3"/>
      <x:c r="F13" s="3"/>
      <x:c r="G13" s="3"/>
      <x:c r="H13" s="3"/>
      <x:c r="I13" s="3"/>
      <x:c r="J13" s="3"/>
      <x:c r="K13" s="3"/>
      <x:c r="L13" s="3"/>
      <x:c r="M13" s="3"/>
      <x:c r="N13" s="3"/>
      <x:c r="O13" s="3"/>
      <x:c r="P13" s="3"/>
    </x:row>
    <x:row r="14">
      <x:c r="A14" s="10" t="str">
        <x:v>MCM3005P</x:v>
      </x:c>
      <x:c r="B14" s="10" t="str">
        <x:v>支払い明細</x:v>
      </x:c>
      <x:c r="C14" s="10" t="n">
        <x:v>21</x:v>
      </x:c>
      <x:c r="D14" s="10" t="str">
        <x:v>ZIP内xls</x:v>
      </x:c>
      <x:c r="E14" s="3"/>
      <x:c r="F14" s="3"/>
      <x:c r="G14" s="3"/>
      <x:c r="H14" s="3"/>
      <x:c r="I14" s="3"/>
      <x:c r="J14" s="3"/>
      <x:c r="K14" s="3"/>
      <x:c r="L14" s="3"/>
      <x:c r="M14" s="3"/>
      <x:c r="N14" s="3"/>
      <x:c r="O14" s="3"/>
      <x:c r="P14" s="3"/>
    </x:row>
    <x:row r="15">
      <x:c r="A15" s="3"/>
      <x:c r="B15" s="3"/>
      <x:c r="C15" s="3"/>
      <x:c r="D15" s="3"/>
      <x:c r="E15" s="3"/>
      <x:c r="F15" s="3"/>
      <x:c r="G15" s="3"/>
      <x:c r="H15" s="3"/>
      <x:c r="I15" s="3"/>
      <x:c r="J15" s="3"/>
      <x:c r="K15" s="3"/>
      <x:c r="L15" s="3"/>
      <x:c r="M15" s="3"/>
      <x:c r="N15" s="3"/>
      <x:c r="O15" s="3"/>
      <x:c r="P15" s="3"/>
    </x:row>
    <x:row r="16">
      <x:c r="A16" s="3"/>
      <x:c r="B16" s="3"/>
      <x:c r="C16" s="3"/>
      <x:c r="D16" s="3"/>
      <x:c r="E16" s="3"/>
      <x:c r="F16" s="3"/>
      <x:c r="G16" s="3"/>
      <x:c r="H16" s="3"/>
      <x:c r="I16" s="3"/>
      <x:c r="J16" s="3"/>
      <x:c r="K16" s="3"/>
      <x:c r="L16" s="3"/>
      <x:c r="M16" s="3"/>
      <x:c r="N16" s="3"/>
      <x:c r="O16" s="3"/>
      <x:c r="P16" s="3"/>
    </x:row>
    <x:row r="17" ht="26" customHeight="1">
      <x:c r="A17" s="3" t="str">
        <x:v>対象版</x:v>
      </x:c>
      <x:c r="B17" s="3"/>
      <x:c r="C17" s="3"/>
      <x:c r="D17" s="3" t="str">
        <x:v>2026-10-06受領src。第13版（重複統合後）。284ケース、共通確認6観点。</x:v>
      </x:c>
      <x:c r="E17" s="3"/>
      <x:c r="F17" s="3"/>
      <x:c r="G17" s="3"/>
      <x:c r="H17" s="3"/>
      <x:c r="I17" s="3"/>
      <x:c r="J17" s="3"/>
      <x:c r="K17" s="3"/>
      <x:c r="L17" s="3"/>
      <x:c r="M17" s="3"/>
      <x:c r="N17" s="3"/>
      <x:c r="O17" s="3"/>
      <x:c r="P17" s="3"/>
    </x:row>
    <x:row r="18" ht="26" customHeight="1">
      <x:c r="A18" s="3" t="str">
        <x:v>構成基準</x:v>
      </x:c>
      <x:c r="B18" s="3"/>
      <x:c r="C18" s="3"/>
      <x:c r="D18" s="3" t="str">
        <x:v>MCM契・解約機能_単体テスト仕様書(261002版).xlsxの目次・課題・帳票別16列の記入欄に準拠。</x:v>
      </x:c>
      <x:c r="E18" s="3"/>
      <x:c r="F18" s="3"/>
      <x:c r="G18" s="3"/>
      <x:c r="H18" s="3"/>
      <x:c r="I18" s="3"/>
      <x:c r="J18" s="3"/>
      <x:c r="K18" s="3"/>
      <x:c r="L18" s="3"/>
      <x:c r="M18" s="3"/>
      <x:c r="N18" s="3"/>
      <x:c r="O18" s="3"/>
      <x:c r="P18" s="3"/>
    </x:row>
    <x:row r="19" ht="26" customHeight="1">
      <x:c r="A19" s="3" t="str">
        <x:v>結果の初期値</x:v>
      </x:c>
      <x:c r="B19" s="3"/>
      <x:c r="C19" s="3"/>
      <x:c r="D19" s="3" t="str">
        <x:v>結果・実施者・日付・不具合内容は未記入。最終判定は未実施。実施済みの実績を転記していない。</x:v>
      </x:c>
      <x:c r="E19" s="3"/>
      <x:c r="F19" s="3"/>
      <x:c r="G19" s="3"/>
      <x:c r="H19" s="3"/>
      <x:c r="I19" s="3"/>
      <x:c r="J19" s="3"/>
      <x:c r="K19" s="3"/>
      <x:c r="L19" s="3"/>
      <x:c r="M19" s="3"/>
      <x:c r="N19" s="3"/>
      <x:c r="O19" s="3"/>
      <x:c r="P19" s="3"/>
    </x:row>
    <x:row r="20" ht="26" customHeight="1">
      <x:c r="A20" s="3" t="str">
        <x:v>元MD</x:v>
      </x:c>
      <x:c r="B20" s="3"/>
      <x:c r="C20" s="3"/>
      <x:c r="D20" s="3" t="str">
        <x:v>同梱のMCM帳票_単体テスト仕様書_Web版.md。実施基準、未確定事項、旧項番対応も参照。</x:v>
      </x:c>
      <x:c r="E20" s="3"/>
      <x:c r="F20" s="3"/>
      <x:c r="G20" s="3"/>
      <x:c r="H20" s="3"/>
      <x:c r="I20" s="3"/>
      <x:c r="J20" s="3"/>
      <x:c r="K20" s="3"/>
      <x:c r="L20" s="3"/>
      <x:c r="M20" s="3"/>
      <x:c r="N20" s="3"/>
      <x:c r="O20" s="3"/>
      <x:c r="P20" s="3"/>
    </x:row>
    <x:row r="21">
      <x:c r="A21" s="3"/>
      <x:c r="B21" s="3"/>
      <x:c r="C21" s="3"/>
      <x:c r="D21" s="3"/>
      <x:c r="E21" s="3"/>
      <x:c r="F21" s="3"/>
      <x:c r="G21" s="3"/>
      <x:c r="H21" s="3"/>
      <x:c r="I21" s="3"/>
      <x:c r="J21" s="3"/>
      <x:c r="K21" s="3"/>
      <x:c r="L21" s="3"/>
      <x:c r="M21" s="3"/>
      <x:c r="N21" s="3"/>
      <x:c r="O21" s="3"/>
      <x:c r="P21" s="3"/>
    </x:row>
    <x:row r="22">
      <x:c r="A22" s="3"/>
      <x:c r="B22" s="3"/>
      <x:c r="C22" s="3"/>
      <x:c r="D22" s="3"/>
      <x:c r="E22" s="3"/>
      <x:c r="F22" s="3"/>
      <x:c r="G22" s="3"/>
      <x:c r="H22" s="3"/>
      <x:c r="I22" s="3"/>
      <x:c r="J22" s="3"/>
      <x:c r="K22" s="3"/>
      <x:c r="L22" s="3"/>
      <x:c r="M22" s="3"/>
      <x:c r="N22" s="3"/>
      <x:c r="O22" s="3"/>
      <x:c r="P22" s="3"/>
    </x:row>
    <x:row r="23">
      <x:c r="A23" s="3"/>
      <x:c r="B23" s="3"/>
      <x:c r="C23" s="3"/>
      <x:c r="D23" s="3"/>
      <x:c r="E23" s="3"/>
      <x:c r="F23" s="3"/>
      <x:c r="G23" s="3"/>
      <x:c r="H23" s="3"/>
      <x:c r="I23" s="3"/>
      <x:c r="J23" s="3"/>
      <x:c r="K23" s="3"/>
      <x:c r="L23" s="3"/>
      <x:c r="M23" s="3"/>
      <x:c r="N23" s="3"/>
      <x:c r="O23" s="3"/>
      <x:c r="P23" s="3"/>
    </x:row>
    <x:row r="24">
      <x:c r="A24" s="3"/>
      <x:c r="B24" s="3"/>
      <x:c r="C24" s="3"/>
      <x:c r="D24" s="3"/>
      <x:c r="E24" s="3"/>
      <x:c r="F24" s="3"/>
      <x:c r="G24" s="3"/>
      <x:c r="H24" s="3"/>
      <x:c r="I24" s="3"/>
      <x:c r="J24" s="3"/>
      <x:c r="K24" s="3"/>
      <x:c r="L24" s="3"/>
      <x:c r="M24" s="3"/>
      <x:c r="N24" s="3"/>
      <x:c r="O24" s="3"/>
      <x:c r="P24" s="3"/>
    </x:row>
  </x:sheetData>
  <x:mergeCells>
    <x:mergeCell ref="A1:P1"/>
    <x:mergeCell ref="A17:C17"/>
    <x:mergeCell ref="D17:P17"/>
    <x:mergeCell ref="A18:C18"/>
    <x:mergeCell ref="D18:P18"/>
    <x:mergeCell ref="A19:C19"/>
    <x:mergeCell ref="D19:P19"/>
    <x:mergeCell ref="A20:C20"/>
    <x:mergeCell ref="D20:P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25" hidden="0" customWidth="1"/>
    <x:col min="4" max="4" width="72" hidden="0" customWidth="1"/>
    <x:col min="5" max="5" width="76" hidden="0" customWidth="1"/>
    <x:col min="6" max="6" width="64" hidden="0" customWidth="1"/>
    <x:col min="7" max="7" width="40" hidden="0" customWidth="1"/>
    <x:col min="8" max="8" width="12" hidden="0" customWidth="1"/>
    <x:col min="9" max="9" width="14" hidden="0" customWidth="1"/>
    <x:col min="10" max="10" width="15" hidden="0" customWidth="1"/>
    <x:col min="11" max="11" width="40" hidden="0" customWidth="1"/>
    <x:col min="12" max="12" width="14" hidden="0" customWidth="1"/>
    <x:col min="13" max="13" width="17" hidden="0" customWidth="1"/>
    <x:col min="14" max="14" width="17" hidden="0" customWidth="1"/>
    <x:col min="15" max="15" width="13" hidden="0" customWidth="1"/>
    <x:col min="16" max="16" width="54" hidden="0" customWidth="1"/>
  </x:cols>
  <x:sheetData>
    <x:row r="1" ht="26" customHeight="1">
      <x:c r="A1" s="4" t="str">
        <x:v>仕様書課題一覧</x:v>
      </x:c>
      <x:c r="B1" s="4"/>
      <x:c r="C1" s="4"/>
      <x:c r="D1" s="4"/>
      <x:c r="E1" s="4"/>
      <x:c r="F1" s="4"/>
      <x:c r="G1" s="4"/>
      <x:c r="H1" s="4"/>
      <x:c r="I1" s="4"/>
      <x:c r="J1" s="4"/>
      <x:c r="K1" s="4"/>
      <x:c r="L1" s="4"/>
      <x:c r="M1" s="4"/>
      <x:c r="N1" s="4"/>
      <x:c r="O1" s="4"/>
      <x:c r="P1" s="4"/>
    </x:row>
    <x:row r="2">
      <x:c r="A2" s="3"/>
      <x:c r="B2" s="3"/>
      <x:c r="C2" s="3"/>
      <x:c r="D2" s="3"/>
      <x:c r="E2" s="3"/>
      <x:c r="F2" s="3"/>
      <x:c r="G2" s="3"/>
      <x:c r="H2" s="3"/>
      <x:c r="I2" s="3"/>
      <x:c r="J2" s="3"/>
      <x:c r="K2" s="3"/>
      <x:c r="L2" s="3"/>
      <x:c r="M2" s="3"/>
      <x:c r="N2" s="3"/>
      <x:c r="O2" s="3"/>
      <x:c r="P2" s="3"/>
    </x:row>
    <x:row r="3">
      <x:c r="A3" s="3"/>
      <x:c r="B3" s="3"/>
      <x:c r="C3" s="3"/>
      <x:c r="D3" s="3"/>
      <x:c r="E3" s="3"/>
      <x:c r="F3" s="3"/>
      <x:c r="G3" s="3"/>
      <x:c r="H3" s="3"/>
      <x:c r="I3" s="3"/>
      <x:c r="J3" s="3"/>
      <x:c r="K3" s="3"/>
      <x:c r="L3" s="3"/>
      <x:c r="M3" s="3"/>
      <x:c r="N3" s="3"/>
      <x:c r="O3" s="3"/>
      <x:c r="P3" s="3"/>
    </x:row>
    <x:row r="4" ht="28" customHeight="1">
      <x:c r="A4" s="9" t="str">
        <x:v>課題ID</x:v>
      </x:c>
      <x:c r="B4" s="9" t="str">
        <x:v>対象</x:v>
      </x:c>
      <x:c r="C4" s="9" t="str">
        <x:v>関連ケース</x:v>
      </x:c>
      <x:c r="D4" s="9" t="str">
        <x:v>内容</x:v>
      </x:c>
      <x:c r="E4" s="9" t="str">
        <x:v>扱い／確認事項</x:v>
      </x:c>
      <x:c r="F4" s="3"/>
      <x:c r="G4" s="3"/>
      <x:c r="H4" s="3"/>
      <x:c r="I4" s="3"/>
      <x:c r="J4" s="3"/>
      <x:c r="K4" s="3"/>
      <x:c r="L4" s="3"/>
      <x:c r="M4" s="3"/>
      <x:c r="N4" s="3"/>
      <x:c r="O4" s="3"/>
      <x:c r="P4" s="3"/>
    </x:row>
    <x:row r="5" ht="110" customHeight="1">
      <x:c r="A5" s="10" t="str">
        <x:v>F01</x:v>
      </x:c>
      <x:c r="B5" s="10" t="str">
        <x:v>実装の不具合・差異</x:v>
      </x:c>
      <x:c r="C5" s="10" t="str">
        <x:v>本文の関連ケース</x:v>
      </x:c>
      <x:c r="D5" s="10" t="str">
        <x:v>Mcm1002uControllerは複数deliveryの先頭1件だけをセッションへ格納する。依頼書の複数対象を取りこぼす。</x:v>
      </x:c>
      <x:c r="E5" s="10" t="str">
        <x:v>1001P-17・26。全対象の取得を期待し、先頭1件だけを合格にしない。複数ファイル取得の方式はQ02。</x:v>
      </x:c>
      <x:c r="F5" s="3"/>
      <x:c r="G5" s="3"/>
      <x:c r="H5" s="3"/>
      <x:c r="I5" s="3"/>
      <x:c r="J5" s="3"/>
      <x:c r="K5" s="3"/>
      <x:c r="L5" s="3"/>
      <x:c r="M5" s="3"/>
      <x:c r="N5" s="3"/>
      <x:c r="O5" s="3"/>
      <x:c r="P5" s="3"/>
    </x:row>
    <x:row r="6" ht="110" customHeight="1">
      <x:c r="A6" s="10" t="str">
        <x:v>F02</x:v>
      </x:c>
      <x:c r="B6" s="10" t="str">
        <x:v>実装の不具合・差異</x:v>
      </x:c>
      <x:c r="C6" s="10" t="str">
        <x:v>本文の関連ケース</x:v>
      </x:c>
      <x:c r="D6" s="10" t="str">
        <x:v>1002P原紙の見出し10列に対し、generateは契約NOを含む11データ列。見出し補正をしていない。</x:v>
      </x:c>
      <x:c r="E6" s="10" t="str">
        <x:v>1002P-3・17。見出しだけでなく日付・文字書式の列対応も確認。</x:v>
      </x:c>
      <x:c r="F6" s="3"/>
      <x:c r="G6" s="3"/>
      <x:c r="H6" s="3"/>
      <x:c r="I6" s="3"/>
      <x:c r="J6" s="3"/>
      <x:c r="K6" s="3"/>
      <x:c r="L6" s="3"/>
      <x:c r="M6" s="3"/>
      <x:c r="N6" s="3"/>
      <x:c r="O6" s="3"/>
      <x:c r="P6" s="3"/>
    </x:row>
    <x:row r="7" ht="110" customHeight="1">
      <x:c r="A7" s="10" t="str">
        <x:v>F03</x:v>
      </x:c>
      <x:c r="B7" s="10" t="str">
        <x:v>実装の不具合・差異</x:v>
      </x:c>
      <x:c r="C7" s="10" t="str">
        <x:v>本文の関連ケース</x:v>
      </x:c>
      <x:c r="D7" s="10" t="str">
        <x:v>Mcm3004pExcelService.convertValueはタブ2/9の全セル0・1、タブ7の全セル0・1を名称へ変換。VBにも同じ不具合がある。</x:v>
      </x:c>
      <x:c r="E7" s="10" t="str">
        <x:v>3004P-27・30・41。区分列以外のID・コード・金額は元値を保持。原案の「疑い」から静的確認へ変更。</x:v>
      </x:c>
      <x:c r="F7" s="3"/>
      <x:c r="G7" s="3"/>
      <x:c r="H7" s="3"/>
      <x:c r="I7" s="3"/>
      <x:c r="J7" s="3"/>
      <x:c r="K7" s="3"/>
      <x:c r="L7" s="3"/>
      <x:c r="M7" s="3"/>
      <x:c r="N7" s="3"/>
      <x:c r="O7" s="3"/>
      <x:c r="P7" s="3"/>
    </x:row>
    <x:row r="8" ht="110" customHeight="1">
      <x:c r="A8" s="10" t="str">
        <x:v>F04</x:v>
      </x:c>
      <x:c r="B8" s="10" t="str">
        <x:v>実装の不具合・差異</x:v>
      </x:c>
      <x:c r="C8" s="10" t="str">
        <x:v>本文の関連ケース</x:v>
      </x:c>
      <x:c r="D8" s="10" t="str">
        <x:v>一覧出力はサーバに保持した検索結果から生成する。画面上だけの並べ替えを出力へ渡さない場合、原案の表示順出力と一致しない。</x:v>
      </x:c>
      <x:c r="E8" s="10" t="str">
        <x:v>0001P-5・1002P-16・3004P-21。各画面のソート有無と実出力順を実機確認。並べ替え機能がない画面は操作対象外。静的確認だけで全画面の不一致を確定しない。</x:v>
      </x:c>
      <x:c r="F8" s="3"/>
      <x:c r="G8" s="3"/>
      <x:c r="H8" s="3"/>
      <x:c r="I8" s="3"/>
      <x:c r="J8" s="3"/>
      <x:c r="K8" s="3"/>
      <x:c r="L8" s="3"/>
      <x:c r="M8" s="3"/>
      <x:c r="N8" s="3"/>
      <x:c r="O8" s="3"/>
      <x:c r="P8" s="3"/>
    </x:row>
    <x:row r="9" ht="110" customHeight="1">
      <x:c r="A9" s="10" t="str">
        <x:v>Q01</x:v>
      </x:c>
      <x:c r="B9" s="10" t="str">
        <x:v>未確定基準</x:v>
      </x:c>
      <x:c r="C9" s="10" t="str">
        <x:v>本文の関連ケース</x:v>
      </x:c>
      <x:c r="D9" s="10" t="str">
        <x:v>Excelのバージョン・用紙・倍率・プリンタ条件。全帳票の長文・改ページ・印・ロゴの見た目。</x:v>
      </x:c>
      <x:c r="E9" s="10" t="str">
        <x:v>原紙・出力の印刷プレビューを同じ条件で比較。PDF／Excel画像がない原紙は静的設定だけでレイアウト一致を断定しない。</x:v>
      </x:c>
      <x:c r="F9" s="3"/>
      <x:c r="G9" s="3"/>
      <x:c r="H9" s="3"/>
      <x:c r="I9" s="3"/>
      <x:c r="J9" s="3"/>
      <x:c r="K9" s="3"/>
      <x:c r="L9" s="3"/>
      <x:c r="M9" s="3"/>
      <x:c r="N9" s="3"/>
      <x:c r="O9" s="3"/>
      <x:c r="P9" s="3"/>
    </x:row>
    <x:row r="10" ht="110" customHeight="1">
      <x:c r="A10" s="10" t="str">
        <x:v>Q02</x:v>
      </x:c>
      <x:c r="B10" s="10" t="str">
        <x:v>未確定基準</x:v>
      </x:c>
      <x:c r="C10" s="10" t="str">
        <x:v>本文の関連ケース</x:v>
      </x:c>
      <x:c r="D10" s="10" t="str">
        <x:v>見積依頼書の明細0件混在時の除外または中止、複数対象の取得方式、未設定nullと明示0の名称差。</x:v>
      </x:c>
      <x:c r="E10" s="10" t="str">
        <x:v>1001P。業務判断とVBの実データを確認し、原案の不確実な継続処理を期待値にしない。</x:v>
      </x:c>
      <x:c r="F10" s="3"/>
      <x:c r="G10" s="3"/>
      <x:c r="H10" s="3"/>
      <x:c r="I10" s="3"/>
      <x:c r="J10" s="3"/>
      <x:c r="K10" s="3"/>
      <x:c r="L10" s="3"/>
      <x:c r="M10" s="3"/>
      <x:c r="N10" s="3"/>
      <x:c r="O10" s="3"/>
      <x:c r="P10" s="3"/>
    </x:row>
    <x:row r="11" ht="110" customHeight="1">
      <x:c r="A11" s="10" t="str">
        <x:v>Q03</x:v>
      </x:c>
      <x:c r="B11" s="10" t="str">
        <x:v>未確定基準</x:v>
      </x:c>
      <x:c r="C11" s="10" t="str">
        <x:v>本文の関連ケース</x:v>
      </x:c>
      <x:c r="D11" s="10" t="str">
        <x:v>店舗見積の最低構成、DREMOS固定コスト・発注先の現行業務上の採否、ゼロ分母表示・端数、発行確認の有無。</x:v>
      </x:c>
      <x:c r="E11" s="10" t="str">
        <x:v>2001P。事前に採用基準を記入。既知のデータなし例外を正常仕様へ取り込まない。</x:v>
      </x:c>
      <x:c r="F11" s="3"/>
      <x:c r="G11" s="3"/>
      <x:c r="H11" s="3"/>
      <x:c r="I11" s="3"/>
      <x:c r="J11" s="3"/>
      <x:c r="K11" s="3"/>
      <x:c r="L11" s="3"/>
      <x:c r="M11" s="3"/>
      <x:c r="N11" s="3"/>
      <x:c r="O11" s="3"/>
      <x:c r="P11" s="3"/>
    </x:row>
    <x:row r="12" ht="110" customHeight="1">
      <x:c r="A12" s="10" t="str">
        <x:v>Q04</x:v>
      </x:c>
      <x:c r="B12" s="10" t="str">
        <x:v>未確定基準</x:v>
      </x:c>
      <x:c r="C12" s="10" t="str">
        <x:v>本文の関連ケース</x:v>
      </x:c>
      <x:c r="D12" s="10" t="str">
        <x:v>DB登録データの実際の取込先が要求する列名・型・空欄・シート名。</x:v>
      </x:c>
      <x:c r="E12" s="10" t="str">
        <x:v>3002P。原紙とコードの一致に加え、結合試験で取込確認。今回の単体計画は外部取込成功を保証しない。</x:v>
      </x:c>
      <x:c r="F12" s="3"/>
      <x:c r="G12" s="3"/>
      <x:c r="H12" s="3"/>
      <x:c r="I12" s="3"/>
      <x:c r="J12" s="3"/>
      <x:c r="K12" s="3"/>
      <x:c r="L12" s="3"/>
      <x:c r="M12" s="3"/>
      <x:c r="N12" s="3"/>
      <x:c r="O12" s="3"/>
      <x:c r="P12" s="3"/>
    </x:row>
    <x:row r="13" ht="110" customHeight="1">
      <x:c r="A13" s="10" t="str">
        <x:v>Q05</x:v>
      </x:c>
      <x:c r="B13" s="10" t="str">
        <x:v>未確定基準</x:v>
      </x:c>
      <x:c r="C13" s="10" t="str">
        <x:v>本文の関連ケース</x:v>
      </x:c>
      <x:c r="D13" s="10" t="str">
        <x:v>帳票発行・金額表示の権限を設定する担当者マスタの利用者向け項目名・選択肢。</x:v>
      </x:c>
      <x:c r="E13" s="10" t="str">
        <x:v>各章の権限ケース。特に3004P-28/29の内部authority3を画面名称として扱わない。設定を実施記録へ残す。</x:v>
      </x:c>
      <x:c r="F13" s="3"/>
      <x:c r="G13" s="3"/>
      <x:c r="H13" s="3"/>
      <x:c r="I13" s="3"/>
      <x:c r="J13" s="3"/>
      <x:c r="K13" s="3"/>
      <x:c r="L13" s="3"/>
      <x:c r="M13" s="3"/>
      <x:c r="N13" s="3"/>
      <x:c r="O13" s="3"/>
      <x:c r="P13" s="3"/>
    </x:row>
    <x:row r="14" ht="110" customHeight="1">
      <x:c r="A14" s="10" t="str">
        <x:v>Q06</x:v>
      </x:c>
      <x:c r="B14" s="10" t="str">
        <x:v>未確定基準</x:v>
      </x:c>
      <x:c r="C14" s="10" t="str">
        <x:v>本文の関連ケース</x:v>
      </x:c>
      <x:c r="D14" s="10" t="str">
        <x:v>大量件数・最大行数の必要値と許容応答時間。</x:v>
      </x:c>
      <x:c r="E14" s="10" t="str">
        <x:v>W06。通常・原紙枠超・上限を別々に測る。6000件等を全帳票の固定性能基準へ流用しない。</x:v>
      </x:c>
      <x:c r="F14" s="3"/>
      <x:c r="G14" s="3"/>
      <x:c r="H14" s="3"/>
      <x:c r="I14" s="3"/>
      <x:c r="J14" s="3"/>
      <x:c r="K14" s="3"/>
      <x:c r="L14" s="3"/>
      <x:c r="M14" s="3"/>
      <x:c r="N14" s="3"/>
      <x:c r="O14" s="3"/>
      <x:c r="P14" s="3"/>
    </x:row>
    <x:row r="15">
      <x:c r="A15" s="3"/>
      <x:c r="B15" s="3"/>
      <x:c r="C15" s="3"/>
      <x:c r="D15" s="3"/>
      <x:c r="E15" s="3"/>
      <x:c r="F15" s="3"/>
      <x:c r="G15" s="3"/>
      <x:c r="H15" s="3"/>
      <x:c r="I15" s="3"/>
      <x:c r="J15" s="3"/>
      <x:c r="K15" s="3"/>
      <x:c r="L15" s="3"/>
      <x:c r="M15" s="3"/>
      <x:c r="N15" s="3"/>
      <x:c r="O15" s="3"/>
      <x:c r="P15" s="3"/>
    </x:row>
    <x:row r="16">
      <x:c r="A16" s="3"/>
      <x:c r="B16" s="3"/>
      <x:c r="C16" s="3"/>
      <x:c r="D16" s="3"/>
      <x:c r="E16" s="3"/>
      <x:c r="F16" s="3"/>
      <x:c r="G16" s="3"/>
      <x:c r="H16" s="3"/>
      <x:c r="I16" s="3"/>
      <x:c r="J16" s="3"/>
      <x:c r="K16" s="3"/>
      <x:c r="L16" s="3"/>
      <x:c r="M16" s="3"/>
      <x:c r="N16" s="3"/>
      <x:c r="O16" s="3"/>
      <x:c r="P16" s="3"/>
    </x:row>
    <x:row r="17">
      <x:c r="A17" s="3"/>
      <x:c r="B17" s="3"/>
      <x:c r="C17" s="3"/>
      <x:c r="D17" s="3"/>
      <x:c r="E17" s="3"/>
      <x:c r="F17" s="3"/>
      <x:c r="G17" s="3"/>
      <x:c r="H17" s="3"/>
      <x:c r="I17" s="3"/>
      <x:c r="J17" s="3"/>
      <x:c r="K17" s="3"/>
      <x:c r="L17" s="3"/>
      <x:c r="M17" s="3"/>
      <x:c r="N17" s="3"/>
      <x:c r="O17" s="3"/>
      <x:c r="P17" s="3"/>
    </x:row>
    <x:row r="18">
      <x:c r="A18" s="3"/>
      <x:c r="B18" s="3"/>
      <x:c r="C18" s="3"/>
      <x:c r="D18" s="3"/>
      <x:c r="E18" s="3"/>
      <x:c r="F18" s="3"/>
      <x:c r="G18" s="3"/>
      <x:c r="H18" s="3"/>
      <x:c r="I18" s="3"/>
      <x:c r="J18" s="3"/>
      <x:c r="K18" s="3"/>
      <x:c r="L18" s="3"/>
      <x:c r="M18" s="3"/>
      <x:c r="N18" s="3"/>
      <x:c r="O18" s="3"/>
      <x:c r="P18" s="3"/>
    </x:row>
    <x:row r="19">
      <x:c r="A19" s="3"/>
      <x:c r="B19" s="3"/>
      <x:c r="C19" s="3"/>
      <x:c r="D19" s="3"/>
      <x:c r="E19" s="3"/>
      <x:c r="F19" s="3"/>
      <x:c r="G19" s="3"/>
      <x:c r="H19" s="3"/>
      <x:c r="I19" s="3"/>
      <x:c r="J19" s="3"/>
      <x:c r="K19" s="3"/>
      <x:c r="L19" s="3"/>
      <x:c r="M19" s="3"/>
      <x:c r="N19" s="3"/>
      <x:c r="O19" s="3"/>
      <x:c r="P19" s="3"/>
    </x:row>
    <x:row r="20">
      <x:c r="A20" s="3"/>
      <x:c r="B20" s="3"/>
      <x:c r="C20" s="3"/>
      <x:c r="D20" s="3"/>
      <x:c r="E20" s="3"/>
      <x:c r="F20" s="3"/>
      <x:c r="G20" s="3"/>
      <x:c r="H20" s="3"/>
      <x:c r="I20" s="3"/>
      <x:c r="J20" s="3"/>
      <x:c r="K20" s="3"/>
      <x:c r="L20" s="3"/>
      <x:c r="M20" s="3"/>
      <x:c r="N20" s="3"/>
      <x:c r="O20" s="3"/>
      <x:c r="P20" s="3"/>
    </x:row>
    <x:row r="21">
      <x:c r="A21" s="3"/>
      <x:c r="B21" s="3"/>
      <x:c r="C21" s="3"/>
      <x:c r="D21" s="3"/>
      <x:c r="E21" s="3"/>
      <x:c r="F21" s="3"/>
      <x:c r="G21" s="3"/>
      <x:c r="H21" s="3"/>
      <x:c r="I21" s="3"/>
      <x:c r="J21" s="3"/>
      <x:c r="K21" s="3"/>
      <x:c r="L21" s="3"/>
      <x:c r="M21" s="3"/>
      <x:c r="N21" s="3"/>
      <x:c r="O21" s="3"/>
      <x:c r="P21" s="3"/>
    </x:row>
    <x:row r="22">
      <x:c r="A22" s="3"/>
      <x:c r="B22" s="3"/>
      <x:c r="C22" s="3"/>
      <x:c r="D22" s="3"/>
      <x:c r="E22" s="3"/>
      <x:c r="F22" s="3"/>
      <x:c r="G22" s="3"/>
      <x:c r="H22" s="3"/>
      <x:c r="I22" s="3"/>
      <x:c r="J22" s="3"/>
      <x:c r="K22" s="3"/>
      <x:c r="L22" s="3"/>
      <x:c r="M22" s="3"/>
      <x:c r="N22" s="3"/>
      <x:c r="O22" s="3"/>
      <x:c r="P22" s="3"/>
    </x:row>
    <x:row r="23">
      <x:c r="A23" s="3"/>
      <x:c r="B23" s="3"/>
      <x:c r="C23" s="3"/>
      <x:c r="D23" s="3"/>
      <x:c r="E23" s="3"/>
      <x:c r="F23" s="3"/>
      <x:c r="G23" s="3"/>
      <x:c r="H23" s="3"/>
      <x:c r="I23" s="3"/>
      <x:c r="J23" s="3"/>
      <x:c r="K23" s="3"/>
      <x:c r="L23" s="3"/>
      <x:c r="M23" s="3"/>
      <x:c r="N23" s="3"/>
      <x:c r="O23" s="3"/>
      <x:c r="P23" s="3"/>
    </x:row>
    <x:row r="24">
      <x:c r="A24" s="3"/>
      <x:c r="B24" s="3"/>
      <x:c r="C24" s="3"/>
      <x:c r="D24" s="3"/>
      <x:c r="E24" s="3"/>
      <x:c r="F24" s="3"/>
      <x:c r="G24" s="3"/>
      <x:c r="H24" s="3"/>
      <x:c r="I24" s="3"/>
      <x:c r="J24" s="3"/>
      <x:c r="K24" s="3"/>
      <x:c r="L24" s="3"/>
      <x:c r="M24" s="3"/>
      <x:c r="N24" s="3"/>
      <x:c r="O24" s="3"/>
      <x:c r="P24" s="3"/>
    </x:row>
  </x:sheetData>
  <x:mergeCells>
    <x:mergeCell ref="A1:P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34" hidden="0" customWidth="1"/>
    <x:col min="3" max="3" width="44" hidden="0" customWidth="1"/>
    <x:col min="4" max="4" width="52" hidden="0" customWidth="1"/>
    <x:col min="5" max="5" width="60" hidden="0" customWidth="1"/>
    <x:col min="6" max="6" width="64" hidden="0" customWidth="1"/>
    <x:col min="7" max="7" width="40" hidden="0" customWidth="1"/>
    <x:col min="8" max="8" width="12" hidden="0" customWidth="1"/>
    <x:col min="9" max="9" width="14" hidden="0" customWidth="1"/>
    <x:col min="10" max="10" width="15" hidden="0" customWidth="1"/>
    <x:col min="11" max="11" width="40" hidden="0" customWidth="1"/>
    <x:col min="12" max="12" width="14" hidden="0" customWidth="1"/>
    <x:col min="13" max="13" width="17" hidden="0" customWidth="1"/>
    <x:col min="14" max="14" width="17" hidden="0" customWidth="1"/>
    <x:col min="15" max="15" width="13" hidden="0" customWidth="1"/>
    <x:col min="16" max="16" width="54" hidden="0" customWidth="1"/>
  </x:cols>
  <x:sheetData>
    <x:row r="1" ht="26" customHeight="1">
      <x:c r="A1" s="4" t="str">
        <x:v>単体テスト目次</x:v>
      </x:c>
      <x:c r="B1" s="4"/>
      <x:c r="C1" s="4"/>
      <x:c r="D1" s="4"/>
      <x:c r="E1" s="4"/>
      <x:c r="F1" s="4"/>
      <x:c r="G1" s="4"/>
      <x:c r="H1" s="4"/>
      <x:c r="I1" s="4"/>
      <x:c r="J1" s="4"/>
      <x:c r="K1" s="4"/>
      <x:c r="L1" s="4"/>
      <x:c r="M1" s="4"/>
      <x:c r="N1" s="4"/>
      <x:c r="O1" s="4"/>
      <x:c r="P1" s="4"/>
    </x:row>
    <x:row r="2">
      <x:c r="A2" s="3"/>
      <x:c r="B2" s="3"/>
      <x:c r="C2" s="3"/>
      <x:c r="D2" s="3"/>
      <x:c r="E2" s="3"/>
      <x:c r="F2" s="3"/>
      <x:c r="G2" s="3"/>
      <x:c r="H2" s="3"/>
      <x:c r="I2" s="3"/>
      <x:c r="J2" s="3"/>
      <x:c r="K2" s="3"/>
      <x:c r="L2" s="3"/>
      <x:c r="M2" s="3"/>
      <x:c r="N2" s="3"/>
      <x:c r="O2" s="3"/>
      <x:c r="P2" s="3"/>
    </x:row>
    <x:row r="3">
      <x:c r="A3" s="3"/>
      <x:c r="B3" s="3"/>
      <x:c r="C3" s="3"/>
      <x:c r="D3" s="3"/>
      <x:c r="E3" s="3"/>
      <x:c r="F3" s="3"/>
      <x:c r="G3" s="3"/>
      <x:c r="H3" s="3"/>
      <x:c r="I3" s="3"/>
      <x:c r="J3" s="3"/>
      <x:c r="K3" s="3"/>
      <x:c r="L3" s="3"/>
      <x:c r="M3" s="3"/>
      <x:c r="N3" s="3"/>
      <x:c r="O3" s="3"/>
      <x:c r="P3" s="3"/>
    </x:row>
    <x:row r="4" ht="28" customHeight="1">
      <x:c r="A4" s="9" t="str">
        <x:v>帳票ID</x:v>
      </x:c>
      <x:c r="B4" s="9" t="str">
        <x:v>帳票名</x:v>
      </x:c>
      <x:c r="C4" s="9" t="str">
        <x:v>ケース数</x:v>
      </x:c>
      <x:c r="D4" s="9" t="str">
        <x:v>OK</x:v>
      </x:c>
      <x:c r="E4" s="9" t="str">
        <x:v>NG</x:v>
      </x:c>
      <x:c r="F4" s="9" t="str">
        <x:v>保留</x:v>
      </x:c>
      <x:c r="G4" s="9" t="str">
        <x:v>未実施</x:v>
      </x:c>
      <x:c r="H4" s="9" t="str">
        <x:v>実施率</x:v>
      </x:c>
      <x:c r="I4" s="3"/>
      <x:c r="J4" s="3"/>
      <x:c r="K4" s="3"/>
      <x:c r="L4" s="3"/>
      <x:c r="M4" s="3"/>
      <x:c r="N4" s="3"/>
      <x:c r="O4" s="3"/>
      <x:c r="P4" s="3"/>
    </x:row>
    <x:row r="5">
      <x:c r="A5" s="10" t="str">
        <x:v>MCM1001P</x:v>
      </x:c>
      <x:c r="B5" s="10" t="str">
        <x:v>見積依頼書</x:v>
      </x:c>
      <x:c r="C5" s="10" t="n">
        <x:f>COUNTA('MCM1001P_見積依頼書'!A29:A54)</x:f>
        <x:v>26</x:v>
      </x:c>
      <x:c r="D5" s="10" t="n">
        <x:f>COUNTIF('MCM1001P_見積依頼書'!O29:O54,"OK")</x:f>
        <x:v>0</x:v>
      </x:c>
      <x:c r="E5" s="10" t="n">
        <x:f>COUNTIF('MCM1001P_見積依頼書'!O29:O54,"NG")</x:f>
        <x:v>0</x:v>
      </x:c>
      <x:c r="F5" s="10" t="n">
        <x:f>COUNTIF('MCM1001P_見積依頼書'!O29:O54,"保留")</x:f>
        <x:v>0</x:v>
      </x:c>
      <x:c r="G5" s="10" t="n">
        <x:f>COUNTIF('MCM1001P_見積依頼書'!O29:O54,"未実施")</x:f>
        <x:v>26</x:v>
      </x:c>
      <x:c r="H5" s="12" t="n">
        <x:f>IF(C5=0,0,(D5+E5)/C5)</x:f>
        <x:v>0</x:v>
      </x:c>
      <x:c r="I5" s="3"/>
      <x:c r="J5" s="3"/>
      <x:c r="K5" s="3"/>
      <x:c r="L5" s="3"/>
      <x:c r="M5" s="3"/>
      <x:c r="N5" s="3"/>
      <x:c r="O5" s="3"/>
      <x:c r="P5" s="3"/>
    </x:row>
    <x:row r="6">
      <x:c r="A6" s="10" t="str">
        <x:v>MCM1002P</x:v>
      </x:c>
      <x:c r="B6" s="10" t="str">
        <x:v>見積依頼リスト</x:v>
      </x:c>
      <x:c r="C6" s="10" t="n">
        <x:f>COUNTA('MCM1002P_見積依頼リスト'!A29:A45)</x:f>
        <x:v>17</x:v>
      </x:c>
      <x:c r="D6" s="10" t="n">
        <x:f>COUNTIF('MCM1002P_見積依頼リスト'!O29:O45,"OK")</x:f>
        <x:v>0</x:v>
      </x:c>
      <x:c r="E6" s="10" t="n">
        <x:f>COUNTIF('MCM1002P_見積依頼リスト'!O29:O45,"NG")</x:f>
        <x:v>0</x:v>
      </x:c>
      <x:c r="F6" s="10" t="n">
        <x:f>COUNTIF('MCM1002P_見積依頼リスト'!O29:O45,"保留")</x:f>
        <x:v>0</x:v>
      </x:c>
      <x:c r="G6" s="10" t="n">
        <x:f>COUNTIF('MCM1002P_見積依頼リスト'!O29:O45,"未実施")</x:f>
        <x:v>17</x:v>
      </x:c>
      <x:c r="H6" s="12" t="n">
        <x:f>IF(C6=0,0,(D6+E6)/C6)</x:f>
        <x:v>0</x:v>
      </x:c>
      <x:c r="I6" s="3"/>
      <x:c r="J6" s="3"/>
      <x:c r="K6" s="3"/>
      <x:c r="L6" s="3"/>
      <x:c r="M6" s="3"/>
      <x:c r="N6" s="3"/>
      <x:c r="O6" s="3"/>
      <x:c r="P6" s="3"/>
    </x:row>
    <x:row r="7">
      <x:c r="A7" s="10" t="str">
        <x:v>MCM1003P</x:v>
      </x:c>
      <x:c r="B7" s="10" t="str">
        <x:v>契約手続依頼書</x:v>
      </x:c>
      <x:c r="C7" s="10" t="n">
        <x:f>COUNTA('MCM1003P_契約手続依頼書'!A29:A62)</x:f>
        <x:v>34</x:v>
      </x:c>
      <x:c r="D7" s="10" t="n">
        <x:f>COUNTIF('MCM1003P_契約手続依頼書'!O29:O62,"OK")</x:f>
        <x:v>0</x:v>
      </x:c>
      <x:c r="E7" s="10" t="n">
        <x:f>COUNTIF('MCM1003P_契約手続依頼書'!O29:O62,"NG")</x:f>
        <x:v>0</x:v>
      </x:c>
      <x:c r="F7" s="10" t="n">
        <x:f>COUNTIF('MCM1003P_契約手続依頼書'!O29:O62,"保留")</x:f>
        <x:v>0</x:v>
      </x:c>
      <x:c r="G7" s="10" t="n">
        <x:f>COUNTIF('MCM1003P_契約手続依頼書'!O29:O62,"未実施")</x:f>
        <x:v>34</x:v>
      </x:c>
      <x:c r="H7" s="12" t="n">
        <x:f>IF(C7=0,0,(D7+E7)/C7)</x:f>
        <x:v>0</x:v>
      </x:c>
      <x:c r="I7" s="3"/>
      <x:c r="J7" s="3"/>
      <x:c r="K7" s="3"/>
      <x:c r="L7" s="3"/>
      <x:c r="M7" s="3"/>
      <x:c r="N7" s="3"/>
      <x:c r="O7" s="3"/>
      <x:c r="P7" s="3"/>
    </x:row>
    <x:row r="8">
      <x:c r="A8" s="10" t="str">
        <x:v>MCM0001P</x:v>
      </x:c>
      <x:c r="B8" s="10" t="str">
        <x:v>DTS連携情報一覧</x:v>
      </x:c>
      <x:c r="C8" s="10" t="n">
        <x:f>COUNTA('MCM0001P_DTS連携情報一覧'!A29:A42)</x:f>
        <x:v>14</x:v>
      </x:c>
      <x:c r="D8" s="10" t="n">
        <x:f>COUNTIF('MCM0001P_DTS連携情報一覧'!O29:O42,"OK")</x:f>
        <x:v>0</x:v>
      </x:c>
      <x:c r="E8" s="10" t="n">
        <x:f>COUNTIF('MCM0001P_DTS連携情報一覧'!O29:O42,"NG")</x:f>
        <x:v>0</x:v>
      </x:c>
      <x:c r="F8" s="10" t="n">
        <x:f>COUNTIF('MCM0001P_DTS連携情報一覧'!O29:O42,"保留")</x:f>
        <x:v>0</x:v>
      </x:c>
      <x:c r="G8" s="10" t="n">
        <x:f>COUNTIF('MCM0001P_DTS連携情報一覧'!O29:O42,"未実施")</x:f>
        <x:v>14</x:v>
      </x:c>
      <x:c r="H8" s="12" t="n">
        <x:f>IF(C8=0,0,(D8+E8)/C8)</x:f>
        <x:v>0</x:v>
      </x:c>
      <x:c r="I8" s="3"/>
      <x:c r="J8" s="3"/>
      <x:c r="K8" s="3"/>
      <x:c r="L8" s="3"/>
      <x:c r="M8" s="3"/>
      <x:c r="N8" s="3"/>
      <x:c r="O8" s="3"/>
      <x:c r="P8" s="3"/>
    </x:row>
    <x:row r="9">
      <x:c r="A9" s="10" t="str">
        <x:v>MCM2001P</x:v>
      </x:c>
      <x:c r="B9" s="10" t="str">
        <x:v>店舗見積書類</x:v>
      </x:c>
      <x:c r="C9" s="10" t="n">
        <x:f>COUNTA('MCM2001P_店舗見積書類'!A29:A74)</x:f>
        <x:v>46</x:v>
      </x:c>
      <x:c r="D9" s="10" t="n">
        <x:f>COUNTIF('MCM2001P_店舗見積書類'!O29:O74,"OK")</x:f>
        <x:v>0</x:v>
      </x:c>
      <x:c r="E9" s="10" t="n">
        <x:f>COUNTIF('MCM2001P_店舗見積書類'!O29:O74,"NG")</x:f>
        <x:v>0</x:v>
      </x:c>
      <x:c r="F9" s="10" t="n">
        <x:f>COUNTIF('MCM2001P_店舗見積書類'!O29:O74,"保留")</x:f>
        <x:v>0</x:v>
      </x:c>
      <x:c r="G9" s="10" t="n">
        <x:f>COUNTIF('MCM2001P_店舗見積書類'!O29:O74,"未実施")</x:f>
        <x:v>46</x:v>
      </x:c>
      <x:c r="H9" s="12" t="n">
        <x:f>IF(C9=0,0,(D9+E9)/C9)</x:f>
        <x:v>0</x:v>
      </x:c>
      <x:c r="I9" s="3"/>
      <x:c r="J9" s="3"/>
      <x:c r="K9" s="3"/>
      <x:c r="L9" s="3"/>
      <x:c r="M9" s="3"/>
      <x:c r="N9" s="3"/>
      <x:c r="O9" s="3"/>
      <x:c r="P9" s="3"/>
    </x:row>
    <x:row r="10">
      <x:c r="A10" s="10" t="str">
        <x:v>MCM3001P</x:v>
      </x:c>
      <x:c r="B10" s="10" t="str">
        <x:v>発注確認書</x:v>
      </x:c>
      <x:c r="C10" s="10" t="n">
        <x:f>COUNTA('MCM3001P_発注確認書'!A29:A57)</x:f>
        <x:v>29</x:v>
      </x:c>
      <x:c r="D10" s="10" t="n">
        <x:f>COUNTIF('MCM3001P_発注確認書'!O29:O57,"OK")</x:f>
        <x:v>0</x:v>
      </x:c>
      <x:c r="E10" s="10" t="n">
        <x:f>COUNTIF('MCM3001P_発注確認書'!O29:O57,"NG")</x:f>
        <x:v>0</x:v>
      </x:c>
      <x:c r="F10" s="10" t="n">
        <x:f>COUNTIF('MCM3001P_発注確認書'!O29:O57,"保留")</x:f>
        <x:v>0</x:v>
      </x:c>
      <x:c r="G10" s="10" t="n">
        <x:f>COUNTIF('MCM3001P_発注確認書'!O29:O57,"未実施")</x:f>
        <x:v>29</x:v>
      </x:c>
      <x:c r="H10" s="12" t="n">
        <x:f>IF(C10=0,0,(D10+E10)/C10)</x:f>
        <x:v>0</x:v>
      </x:c>
      <x:c r="I10" s="3"/>
      <x:c r="J10" s="3"/>
      <x:c r="K10" s="3"/>
      <x:c r="L10" s="3"/>
      <x:c r="M10" s="3"/>
      <x:c r="N10" s="3"/>
      <x:c r="O10" s="3"/>
      <x:c r="P10" s="3"/>
    </x:row>
    <x:row r="11">
      <x:c r="A11" s="10" t="str">
        <x:v>MCM3002P</x:v>
      </x:c>
      <x:c r="B11" s="10" t="str">
        <x:v>定期点検DB登録データ</x:v>
      </x:c>
      <x:c r="C11" s="10" t="n">
        <x:f>COUNTA('MCM3002P_定期点検DB登録データ'!A29:A56)</x:f>
        <x:v>28</x:v>
      </x:c>
      <x:c r="D11" s="10" t="n">
        <x:f>COUNTIF('MCM3002P_定期点検DB登録データ'!O29:O56,"OK")</x:f>
        <x:v>0</x:v>
      </x:c>
      <x:c r="E11" s="10" t="n">
        <x:f>COUNTIF('MCM3002P_定期点検DB登録データ'!O29:O56,"NG")</x:f>
        <x:v>0</x:v>
      </x:c>
      <x:c r="F11" s="10" t="n">
        <x:f>COUNTIF('MCM3002P_定期点検DB登録データ'!O29:O56,"保留")</x:f>
        <x:v>0</x:v>
      </x:c>
      <x:c r="G11" s="10" t="n">
        <x:f>COUNTIF('MCM3002P_定期点検DB登録データ'!O29:O56,"未実施")</x:f>
        <x:v>28</x:v>
      </x:c>
      <x:c r="H11" s="12" t="n">
        <x:f>IF(C11=0,0,(D11+E11)/C11)</x:f>
        <x:v>0</x:v>
      </x:c>
      <x:c r="I11" s="3"/>
      <x:c r="J11" s="3"/>
      <x:c r="K11" s="3"/>
      <x:c r="L11" s="3"/>
      <x:c r="M11" s="3"/>
      <x:c r="N11" s="3"/>
      <x:c r="O11" s="3"/>
      <x:c r="P11" s="3"/>
    </x:row>
    <x:row r="12">
      <x:c r="A12" s="10" t="str">
        <x:v>MCM3003P</x:v>
      </x:c>
      <x:c r="B12" s="10" t="str">
        <x:v>定期点検リスト</x:v>
      </x:c>
      <x:c r="C12" s="10" t="n">
        <x:f>COUNTA('MCM3003P_定期点検リスト'!A29:A54)</x:f>
        <x:v>26</x:v>
      </x:c>
      <x:c r="D12" s="10" t="n">
        <x:f>COUNTIF('MCM3003P_定期点検リスト'!O29:O54,"OK")</x:f>
        <x:v>0</x:v>
      </x:c>
      <x:c r="E12" s="10" t="n">
        <x:f>COUNTIF('MCM3003P_定期点検リスト'!O29:O54,"NG")</x:f>
        <x:v>0</x:v>
      </x:c>
      <x:c r="F12" s="10" t="n">
        <x:f>COUNTIF('MCM3003P_定期点検リスト'!O29:O54,"保留")</x:f>
        <x:v>0</x:v>
      </x:c>
      <x:c r="G12" s="10" t="n">
        <x:f>COUNTIF('MCM3003P_定期点検リスト'!O29:O54,"未実施")</x:f>
        <x:v>26</x:v>
      </x:c>
      <x:c r="H12" s="12" t="n">
        <x:f>IF(C12=0,0,(D12+E12)/C12)</x:f>
        <x:v>0</x:v>
      </x:c>
      <x:c r="I12" s="3"/>
      <x:c r="J12" s="3"/>
      <x:c r="K12" s="3"/>
      <x:c r="L12" s="3"/>
      <x:c r="M12" s="3"/>
      <x:c r="N12" s="3"/>
      <x:c r="O12" s="3"/>
      <x:c r="P12" s="3"/>
    </x:row>
    <x:row r="13">
      <x:c r="A13" s="10" t="str">
        <x:v>MCM3004P</x:v>
      </x:c>
      <x:c r="B13" s="10" t="str">
        <x:v>作業内容一覧</x:v>
      </x:c>
      <x:c r="C13" s="10" t="n">
        <x:f>COUNTA('MCM3004P_作業内容一覧'!A29:A71)</x:f>
        <x:v>43</x:v>
      </x:c>
      <x:c r="D13" s="10" t="n">
        <x:f>COUNTIF('MCM3004P_作業内容一覧'!O29:O71,"OK")</x:f>
        <x:v>0</x:v>
      </x:c>
      <x:c r="E13" s="10" t="n">
        <x:f>COUNTIF('MCM3004P_作業内容一覧'!O29:O71,"NG")</x:f>
        <x:v>0</x:v>
      </x:c>
      <x:c r="F13" s="10" t="n">
        <x:f>COUNTIF('MCM3004P_作業内容一覧'!O29:O71,"保留")</x:f>
        <x:v>0</x:v>
      </x:c>
      <x:c r="G13" s="10" t="n">
        <x:f>COUNTIF('MCM3004P_作業内容一覧'!O29:O71,"未実施")</x:f>
        <x:v>43</x:v>
      </x:c>
      <x:c r="H13" s="12" t="n">
        <x:f>IF(C13=0,0,(D13+E13)/C13)</x:f>
        <x:v>0</x:v>
      </x:c>
      <x:c r="I13" s="3"/>
      <x:c r="J13" s="3"/>
      <x:c r="K13" s="3"/>
      <x:c r="L13" s="3"/>
      <x:c r="M13" s="3"/>
      <x:c r="N13" s="3"/>
      <x:c r="O13" s="3"/>
      <x:c r="P13" s="3"/>
    </x:row>
    <x:row r="14">
      <x:c r="A14" s="10" t="str">
        <x:v>MCM3005P</x:v>
      </x:c>
      <x:c r="B14" s="10" t="str">
        <x:v>支払い明細</x:v>
      </x:c>
      <x:c r="C14" s="10" t="n">
        <x:f>COUNTA('MCM3005P_支払い明細'!A29:A49)</x:f>
        <x:v>21</x:v>
      </x:c>
      <x:c r="D14" s="10" t="n">
        <x:f>COUNTIF('MCM3005P_支払い明細'!O29:O49,"OK")</x:f>
        <x:v>0</x:v>
      </x:c>
      <x:c r="E14" s="10" t="n">
        <x:f>COUNTIF('MCM3005P_支払い明細'!O29:O49,"NG")</x:f>
        <x:v>0</x:v>
      </x:c>
      <x:c r="F14" s="10" t="n">
        <x:f>COUNTIF('MCM3005P_支払い明細'!O29:O49,"保留")</x:f>
        <x:v>0</x:v>
      </x:c>
      <x:c r="G14" s="10" t="n">
        <x:f>COUNTIF('MCM3005P_支払い明細'!O29:O49,"未実施")</x:f>
        <x:v>21</x:v>
      </x:c>
      <x:c r="H14" s="12" t="n">
        <x:f>IF(C14=0,0,(D14+E14)/C14)</x:f>
        <x:v>0</x:v>
      </x:c>
      <x:c r="I14" s="3"/>
      <x:c r="J14" s="3"/>
      <x:c r="K14" s="3"/>
      <x:c r="L14" s="3"/>
      <x:c r="M14" s="3"/>
      <x:c r="N14" s="3"/>
      <x:c r="O14" s="3"/>
      <x:c r="P14" s="3"/>
    </x:row>
    <x:row r="15">
      <x:c r="A15" s="10"/>
      <x:c r="B15" s="10" t="str">
        <x:v>合計</x:v>
      </x:c>
      <x:c r="C15" s="10" t="n">
        <x:f>SUM(C5:C14)</x:f>
        <x:v>284</x:v>
      </x:c>
      <x:c r="D15" s="10" t="n">
        <x:f>SUM(D5:D14)</x:f>
        <x:v>0</x:v>
      </x:c>
      <x:c r="E15" s="10" t="n">
        <x:f>SUM(E5:E14)</x:f>
        <x:v>0</x:v>
      </x:c>
      <x:c r="F15" s="10" t="n">
        <x:f>SUM(F5:F14)</x:f>
        <x:v>0</x:v>
      </x:c>
      <x:c r="G15" s="10" t="n">
        <x:f>SUM(G5:G14)</x:f>
        <x:v>284</x:v>
      </x:c>
      <x:c r="H15" s="12" t="n">
        <x:f>IF(C15=0,0,(D15+E15)/C15)</x:f>
        <x:v>0</x:v>
      </x:c>
      <x:c r="I15" s="3"/>
      <x:c r="J15" s="3"/>
      <x:c r="K15" s="3"/>
      <x:c r="L15" s="3"/>
      <x:c r="M15" s="3"/>
      <x:c r="N15" s="3"/>
      <x:c r="O15" s="3"/>
      <x:c r="P15" s="3"/>
    </x:row>
    <x:row r="16">
      <x:c r="A16" s="3"/>
      <x:c r="B16" s="3"/>
      <x:c r="C16" s="3"/>
      <x:c r="D16" s="3"/>
      <x:c r="E16" s="3"/>
      <x:c r="F16" s="3"/>
      <x:c r="G16" s="3"/>
      <x:c r="H16" s="3"/>
      <x:c r="I16" s="3"/>
      <x:c r="J16" s="3"/>
      <x:c r="K16" s="3"/>
      <x:c r="L16" s="3"/>
      <x:c r="M16" s="3"/>
      <x:c r="N16" s="3"/>
      <x:c r="O16" s="3"/>
      <x:c r="P16" s="3"/>
    </x:row>
    <x:row r="17">
      <x:c r="A17" s="3"/>
      <x:c r="B17" s="3"/>
      <x:c r="C17" s="3"/>
      <x:c r="D17" s="3"/>
      <x:c r="E17" s="3"/>
      <x:c r="F17" s="3"/>
      <x:c r="G17" s="3"/>
      <x:c r="H17" s="3"/>
      <x:c r="I17" s="3"/>
      <x:c r="J17" s="3"/>
      <x:c r="K17" s="3"/>
      <x:c r="L17" s="3"/>
      <x:c r="M17" s="3"/>
      <x:c r="N17" s="3"/>
      <x:c r="O17" s="3"/>
      <x:c r="P17" s="3"/>
    </x:row>
    <x:row r="18" ht="38" customHeight="1">
      <x:c r="A18" s="3" t="str">
        <x:v>共通確認</x:v>
      </x:c>
      <x:c r="B18" s="3"/>
      <x:c r="C18" s="3"/>
      <x:c r="D18" s="3" t="str">
        <x:v>W01〜W06は帳票別ケースの実施結果を再利用する。284ケースに6件を加算したり、同じ確認を別に二重実施したりしない。</x:v>
      </x:c>
      <x:c r="E18" s="3"/>
      <x:c r="F18" s="3"/>
      <x:c r="G18" s="3"/>
      <x:c r="H18" s="3"/>
      <x:c r="I18" s="3"/>
      <x:c r="J18" s="3"/>
      <x:c r="K18" s="3"/>
      <x:c r="L18" s="3"/>
      <x:c r="M18" s="3"/>
      <x:c r="N18" s="3"/>
      <x:c r="O18" s="3"/>
      <x:c r="P18" s="3"/>
    </x:row>
    <x:row r="19" ht="26" customHeight="1">
      <x:c r="A19" s="3" t="str">
        <x:v>統合された旧項番</x:v>
      </x:c>
      <x:c r="B19" s="3"/>
      <x:c r="C19" s="3"/>
      <x:c r="D19" s="3" t="str">
        <x:v>旧4件は「統合対応」シートに記載。ケースは再採番していない。</x:v>
      </x:c>
      <x:c r="E19" s="3"/>
      <x:c r="F19" s="3"/>
      <x:c r="G19" s="3"/>
      <x:c r="H19" s="3"/>
      <x:c r="I19" s="3"/>
      <x:c r="J19" s="3"/>
      <x:c r="K19" s="3"/>
      <x:c r="L19" s="3"/>
      <x:c r="M19" s="3"/>
      <x:c r="N19" s="3"/>
      <x:c r="O19" s="3"/>
      <x:c r="P19" s="3"/>
    </x:row>
    <x:row r="20">
      <x:c r="A20" s="3"/>
      <x:c r="B20" s="3"/>
      <x:c r="C20" s="3"/>
      <x:c r="D20" s="3"/>
      <x:c r="E20" s="3"/>
      <x:c r="F20" s="3"/>
      <x:c r="G20" s="3"/>
      <x:c r="H20" s="3"/>
      <x:c r="I20" s="3"/>
      <x:c r="J20" s="3"/>
      <x:c r="K20" s="3"/>
      <x:c r="L20" s="3"/>
      <x:c r="M20" s="3"/>
      <x:c r="N20" s="3"/>
      <x:c r="O20" s="3"/>
      <x:c r="P20" s="3"/>
    </x:row>
    <x:row r="21">
      <x:c r="A21" s="3"/>
      <x:c r="B21" s="3"/>
      <x:c r="C21" s="3"/>
      <x:c r="D21" s="3"/>
      <x:c r="E21" s="3"/>
      <x:c r="F21" s="3"/>
      <x:c r="G21" s="3"/>
      <x:c r="H21" s="3"/>
      <x:c r="I21" s="3"/>
      <x:c r="J21" s="3"/>
      <x:c r="K21" s="3"/>
      <x:c r="L21" s="3"/>
      <x:c r="M21" s="3"/>
      <x:c r="N21" s="3"/>
      <x:c r="O21" s="3"/>
      <x:c r="P21" s="3"/>
    </x:row>
    <x:row r="22">
      <x:c r="A22" s="3"/>
      <x:c r="B22" s="3"/>
      <x:c r="C22" s="3"/>
      <x:c r="D22" s="3"/>
      <x:c r="E22" s="3"/>
      <x:c r="F22" s="3"/>
      <x:c r="G22" s="3"/>
      <x:c r="H22" s="3"/>
      <x:c r="I22" s="3"/>
      <x:c r="J22" s="3"/>
      <x:c r="K22" s="3"/>
      <x:c r="L22" s="3"/>
      <x:c r="M22" s="3"/>
      <x:c r="N22" s="3"/>
      <x:c r="O22" s="3"/>
      <x:c r="P22" s="3"/>
    </x:row>
  </x:sheetData>
  <x:mergeCells>
    <x:mergeCell ref="A1:P1"/>
    <x:mergeCell ref="A18:C18"/>
    <x:mergeCell ref="D18:P18"/>
    <x:mergeCell ref="A19:C19"/>
    <x:mergeCell ref="D19:P19"/>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65" hidden="0" customWidth="1"/>
    <x:col min="4" max="4" width="65" hidden="0" customWidth="1"/>
    <x:col min="5" max="5" width="75" hidden="0" customWidth="1"/>
    <x:col min="6" max="6" width="64" hidden="0" customWidth="1"/>
    <x:col min="7" max="7" width="40" hidden="0" customWidth="1"/>
    <x:col min="8" max="8" width="12" hidden="0" customWidth="1"/>
    <x:col min="9" max="9" width="14" hidden="0" customWidth="1"/>
    <x:col min="10" max="10" width="15" hidden="0" customWidth="1"/>
    <x:col min="11" max="11" width="40" hidden="0" customWidth="1"/>
    <x:col min="12" max="12" width="14" hidden="0" customWidth="1"/>
    <x:col min="13" max="13" width="17" hidden="0" customWidth="1"/>
    <x:col min="14" max="14" width="17" hidden="0" customWidth="1"/>
    <x:col min="15" max="15" width="13" hidden="0" customWidth="1"/>
    <x:col min="16" max="16" width="54" hidden="0" customWidth="1"/>
  </x:cols>
  <x:sheetData>
    <x:row r="1" ht="26" customHeight="1">
      <x:c r="A1" s="4" t="str">
        <x:v>共通確認・実施基準</x:v>
      </x:c>
      <x:c r="B1" s="4"/>
      <x:c r="C1" s="4"/>
      <x:c r="D1" s="4"/>
      <x:c r="E1" s="4"/>
      <x:c r="F1" s="4"/>
      <x:c r="G1" s="4"/>
      <x:c r="H1" s="4"/>
      <x:c r="I1" s="4"/>
      <x:c r="J1" s="4"/>
      <x:c r="K1" s="4"/>
      <x:c r="L1" s="4"/>
      <x:c r="M1" s="4"/>
      <x:c r="N1" s="4"/>
      <x:c r="O1" s="4"/>
      <x:c r="P1" s="4"/>
    </x:row>
    <x:row r="2">
      <x:c r="A2" s="3"/>
      <x:c r="B2" s="3"/>
      <x:c r="C2" s="3"/>
      <x:c r="D2" s="3"/>
      <x:c r="E2" s="3"/>
      <x:c r="F2" s="3"/>
      <x:c r="G2" s="3"/>
      <x:c r="H2" s="3"/>
      <x:c r="I2" s="3"/>
      <x:c r="J2" s="3"/>
      <x:c r="K2" s="3"/>
      <x:c r="L2" s="3"/>
      <x:c r="M2" s="3"/>
      <x:c r="N2" s="3"/>
      <x:c r="O2" s="3"/>
      <x:c r="P2" s="3"/>
    </x:row>
    <x:row r="3">
      <x:c r="A3" s="3"/>
      <x:c r="B3" s="3"/>
      <x:c r="C3" s="3"/>
      <x:c r="D3" s="3"/>
      <x:c r="E3" s="3"/>
      <x:c r="F3" s="3"/>
      <x:c r="G3" s="3"/>
      <x:c r="H3" s="3"/>
      <x:c r="I3" s="3"/>
      <x:c r="J3" s="3"/>
      <x:c r="K3" s="3"/>
      <x:c r="L3" s="3"/>
      <x:c r="M3" s="3"/>
      <x:c r="N3" s="3"/>
      <x:c r="O3" s="3"/>
      <x:c r="P3" s="3"/>
    </x:row>
    <x:row r="4" ht="28" customHeight="1">
      <x:c r="A4" s="9" t="str">
        <x:v>項番</x:v>
      </x:c>
      <x:c r="B4" s="9" t="str">
        <x:v>観点</x:v>
      </x:c>
      <x:c r="C4" s="9" t="str">
        <x:v>前提</x:v>
      </x:c>
      <x:c r="D4" s="9" t="str">
        <x:v>手順</x:v>
      </x:c>
      <x:c r="E4" s="9" t="str">
        <x:v>期待結果</x:v>
      </x:c>
      <x:c r="F4" s="3"/>
      <x:c r="G4" s="3"/>
      <x:c r="H4" s="3"/>
      <x:c r="I4" s="3"/>
      <x:c r="J4" s="3"/>
      <x:c r="K4" s="3"/>
      <x:c r="L4" s="3"/>
      <x:c r="M4" s="3"/>
      <x:c r="N4" s="3"/>
      <x:c r="O4" s="3"/>
      <x:c r="P4" s="3"/>
    </x:row>
    <x:row r="5" ht="130" customHeight="1">
      <x:c r="A5" s="10" t="str">
        <x:v>W01</x:v>
      </x:c>
      <x:c r="B5" s="10" t="str">
        <x:v>Web取得の正常系</x:v>
      </x:c>
      <x:c r="C5" s="10" t="str">
        <x:v>対象あり・許可利用者</x:v>
      </x:c>
      <x:c r="D5" s="10" t="str">
        <x:v>本章の出力起点から取得し、ブラウザ履歴の完了を確認。ZIPは展開してExcelで開く。</x:v>
      </x:c>
      <x:c r="E5" s="10" t="str">
        <x:v>正常な形式・ファイル名・対象内容。Excel自動起動は不要。xlsはHSSF／xlsxはOOXML。</x:v>
      </x:c>
      <x:c r="F5" s="3"/>
      <x:c r="G5" s="3"/>
      <x:c r="H5" s="3"/>
      <x:c r="I5" s="3"/>
      <x:c r="J5" s="3"/>
      <x:c r="K5" s="3"/>
      <x:c r="L5" s="3"/>
      <x:c r="M5" s="3"/>
      <x:c r="N5" s="3"/>
      <x:c r="O5" s="3"/>
      <x:c r="P5" s="3"/>
    </x:row>
    <x:row r="6" ht="130" customHeight="1">
      <x:c r="A6" s="10" t="str">
        <x:v>W02</x:v>
      </x:c>
      <x:c r="B6" s="10" t="str">
        <x:v>保存の取消と再取得</x:v>
      </x:c>
      <x:c r="C6" s="10" t="str">
        <x:v>正常出力可能。保存先を確認するブラウザ設定</x:v>
      </x:c>
      <x:c r="D6" s="10" t="str">
        <x:v>保存取消→再操作。アプリの発行取消とは分ける。</x:v>
      </x:c>
      <x:c r="E6" s="10" t="str">
        <x:v>利用者PCに取消分なし。発行済みDBを勝手に戻さない。消費済みの一時取得データは元画面から再取得する。</x:v>
      </x:c>
      <x:c r="F6" s="3"/>
      <x:c r="G6" s="3"/>
      <x:c r="H6" s="3"/>
      <x:c r="I6" s="3"/>
      <x:c r="J6" s="3"/>
      <x:c r="K6" s="3"/>
      <x:c r="L6" s="3"/>
      <x:c r="M6" s="3"/>
      <x:c r="N6" s="3"/>
      <x:c r="O6" s="3"/>
      <x:c r="P6" s="3"/>
    </x:row>
    <x:row r="7" ht="130" customHeight="1">
      <x:c r="A7" s="10" t="str">
        <x:v>W03</x:v>
      </x:c>
      <x:c r="B7" s="10" t="str">
        <x:v>出力失敗と再試行</x:v>
      </x:c>
      <x:c r="C7" s="10" t="str">
        <x:v>テスト環境でDB接続失敗・原紙読込失敗・生成失敗を個別に起こす。開発者が準備し元へ戻す。</x:v>
      </x:c>
      <x:c r="D7" s="10" t="str">
        <x:v>出力し、障害解除後に同じ対象を再操作。</x:v>
      </x:c>
      <x:c r="E7" s="10" t="str">
        <x:v>取得できない理由を通知。破損Excel／片方だけの支払ZIPを成功として返さない。再試行でき、処理中の状態が残らない。</x:v>
      </x:c>
      <x:c r="F7" s="3"/>
      <x:c r="G7" s="3"/>
      <x:c r="H7" s="3"/>
      <x:c r="I7" s="3"/>
      <x:c r="J7" s="3"/>
      <x:c r="K7" s="3"/>
      <x:c r="L7" s="3"/>
      <x:c r="M7" s="3"/>
      <x:c r="N7" s="3"/>
      <x:c r="O7" s="3"/>
      <x:c r="P7" s="3"/>
    </x:row>
    <x:row r="8" ht="130" customHeight="1">
      <x:c r="A8" s="10" t="str">
        <x:v>W04</x:v>
      </x:c>
      <x:c r="B8" s="10" t="str">
        <x:v>利用権限・セッション終了</x:v>
      </x:c>
      <x:c r="C8" s="10" t="str">
        <x:v>利用権限なし／ログアウト後／許可利用者の3条件</x:v>
      </x:c>
      <x:c r="D8" s="10" t="str">
        <x:v>同じ帳票取得URLを各条件で要求。</x:v>
      </x:c>
      <x:c r="E8" s="10" t="str">
        <x:v>不許可時は帳票内容を返さず、ログインまたは権限エラー。許可時だけ対象帳票を返す。参照でも許可する帳票は各章の権限ケースを優先。</x:v>
      </x:c>
      <x:c r="F8" s="3"/>
      <x:c r="G8" s="3"/>
      <x:c r="H8" s="3"/>
      <x:c r="I8" s="3"/>
      <x:c r="J8" s="3"/>
      <x:c r="K8" s="3"/>
      <x:c r="L8" s="3"/>
      <x:c r="M8" s="3"/>
      <x:c r="N8" s="3"/>
      <x:c r="O8" s="3"/>
      <x:c r="P8" s="3"/>
    </x:row>
    <x:row r="9" ht="130" customHeight="1">
      <x:c r="A9" s="10" t="str">
        <x:v>W05</x:v>
      </x:c>
      <x:c r="B9" s="10" t="str">
        <x:v>参照出力の副作用</x:v>
      </x:c>
      <x:c r="C9" s="10" t="str">
        <x:v>発行操作以外の一覧・支払・点検帳票。対象値と更新日時を控える。</x:v>
      </x:c>
      <x:c r="D9" s="10" t="str">
        <x:v>出力前後で対象レコードを照合。</x:v>
      </x:c>
      <x:c r="E9" s="10" t="str">
        <x:v>出力だけで契約・見積・支払・点検データを更新しない。1001P／2001Pの登録を伴う作成操作は専用ケースで判定。</x:v>
      </x:c>
      <x:c r="F9" s="3"/>
      <x:c r="G9" s="3"/>
      <x:c r="H9" s="3"/>
      <x:c r="I9" s="3"/>
      <x:c r="J9" s="3"/>
      <x:c r="K9" s="3"/>
      <x:c r="L9" s="3"/>
      <x:c r="M9" s="3"/>
      <x:c r="N9" s="3"/>
      <x:c r="O9" s="3"/>
      <x:c r="P9" s="3"/>
    </x:row>
    <x:row r="10" ht="130" customHeight="1">
      <x:c r="A10" s="10" t="str">
        <x:v>W06</x:v>
      </x:c>
      <x:c r="B10" s="10" t="str">
        <x:v>形式の上限・大量件数</x:v>
      </x:c>
      <x:c r="C10" s="10" t="str">
        <x:v>通常件数、原紙枠超、xls行数上限を超える対象を準備。実DBにない場合は生成単体試験。</x:v>
      </x:c>
      <x:c r="D10" s="10" t="str">
        <x:v>生成し件数・末尾・全シート・応答を確認。</x:v>
      </x:c>
      <x:c r="E10" s="10" t="str">
        <x:v>サポート範囲内は全件。上限超過は事前に中止し通知、黙って切捨てない。xlsxにxls上限を機械的に適用しない。性能合格値はQ06で確定。</x:v>
      </x:c>
      <x:c r="F10" s="3"/>
      <x:c r="G10" s="3"/>
      <x:c r="H10" s="3"/>
      <x:c r="I10" s="3"/>
      <x:c r="J10" s="3"/>
      <x:c r="K10" s="3"/>
      <x:c r="L10" s="3"/>
      <x:c r="M10" s="3"/>
      <x:c r="N10" s="3"/>
      <x:c r="O10" s="3"/>
      <x:c r="P10" s="3"/>
    </x:row>
    <x:row r="11">
      <x:c r="A11" s="3"/>
      <x:c r="B11" s="3"/>
      <x:c r="C11" s="3"/>
      <x:c r="D11" s="3"/>
      <x:c r="E11" s="3"/>
      <x:c r="F11" s="3"/>
      <x:c r="G11" s="3"/>
      <x:c r="H11" s="3"/>
      <x:c r="I11" s="3"/>
      <x:c r="J11" s="3"/>
      <x:c r="K11" s="3"/>
      <x:c r="L11" s="3"/>
      <x:c r="M11" s="3"/>
      <x:c r="N11" s="3"/>
      <x:c r="O11" s="3"/>
      <x:c r="P11" s="3"/>
    </x:row>
    <x:row r="12">
      <x:c r="A12" s="3"/>
      <x:c r="B12" s="3"/>
      <x:c r="C12" s="3"/>
      <x:c r="D12" s="3"/>
      <x:c r="E12" s="3"/>
      <x:c r="F12" s="3"/>
      <x:c r="G12" s="3"/>
      <x:c r="H12" s="3"/>
      <x:c r="I12" s="3"/>
      <x:c r="J12" s="3"/>
      <x:c r="K12" s="3"/>
      <x:c r="L12" s="3"/>
      <x:c r="M12" s="3"/>
      <x:c r="N12" s="3"/>
      <x:c r="O12" s="3"/>
      <x:c r="P12" s="3"/>
    </x:row>
    <x:row r="13" ht="42" customHeight="1">
      <x:c r="A13" s="3" t="str">
        <x:v>- 本番ではなく専用の検証環境を使用し、対象データの契約ID・期間ID・見積ID・支払月を控える。例示の2026/10に実データがなければ同じ条件を満たす月に読み替える。</x:v>
      </x:c>
      <x:c r="B13" s="3"/>
      <x:c r="C13" s="3"/>
      <x:c r="D13" s="3"/>
      <x:c r="E13" s="3"/>
      <x:c r="F13" s="3"/>
      <x:c r="G13" s="3"/>
      <x:c r="H13" s="3"/>
      <x:c r="I13" s="3"/>
      <x:c r="J13" s="3"/>
      <x:c r="K13" s="3"/>
      <x:c r="L13" s="3"/>
      <x:c r="M13" s="3"/>
      <x:c r="N13" s="3"/>
      <x:c r="O13" s="3"/>
      <x:c r="P13" s="3"/>
    </x:row>
    <x:row r="14" ht="42" customHeight="1">
      <x:c r="A14" s="3" t="str">
        <x:v>- 起点画面を表示できる権限と、帳票発行・金額表示の権限を分ける。管理者に設定を依頼し、担当者マスタ上の実際の項目名・選択値を実施記録へ残す。未確認名称を内部コード名で代用しない。</x:v>
      </x:c>
      <x:c r="B14" s="3"/>
      <x:c r="C14" s="3"/>
      <x:c r="D14" s="3"/>
      <x:c r="E14" s="3"/>
      <x:c r="F14" s="3"/>
      <x:c r="G14" s="3"/>
      <x:c r="H14" s="3"/>
      <x:c r="I14" s="3"/>
      <x:c r="J14" s="3"/>
      <x:c r="K14" s="3"/>
      <x:c r="L14" s="3"/>
      <x:c r="M14" s="3"/>
      <x:c r="N14" s="3"/>
      <x:c r="O14" s="3"/>
      <x:c r="P14" s="3"/>
    </x:row>
    <x:row r="15" ht="42" customHeight="1">
      <x:c r="A15" s="3" t="str">
        <x:v>- 元データの値・順序・件数から期待額／ページ数を先に計算する。ダウンロードした帳票の値をそのまま正解データにしない。日時・利用者印は発行時刻とログイン利用者を照合する。</x:v>
      </x:c>
      <x:c r="B15" s="3"/>
      <x:c r="C15" s="3"/>
      <x:c r="D15" s="3"/>
      <x:c r="E15" s="3"/>
      <x:c r="F15" s="3"/>
      <x:c r="G15" s="3"/>
      <x:c r="H15" s="3"/>
      <x:c r="I15" s="3"/>
      <x:c r="J15" s="3"/>
      <x:c r="K15" s="3"/>
      <x:c r="L15" s="3"/>
      <x:c r="M15" s="3"/>
      <x:c r="N15" s="3"/>
      <x:c r="O15" s="3"/>
      <x:c r="P15" s="3"/>
    </x:row>
    <x:row r="16" ht="42" customHeight="1">
      <x:c r="A16" s="3" t="str">
        <x:v>- 欠損・上限・異常系は実DBを壊さず、開発者が生成サービス／Controllerにテストデータや障害条件を与えて実施する。ケースごとに「画面」「生成単体」「HTTP」「Excel印刷」の実施方法と結果を残す。</x:v>
      </x:c>
      <x:c r="B16" s="3"/>
      <x:c r="C16" s="3"/>
      <x:c r="D16" s="3"/>
      <x:c r="E16" s="3"/>
      <x:c r="F16" s="3"/>
      <x:c r="G16" s="3"/>
      <x:c r="H16" s="3"/>
      <x:c r="I16" s="3"/>
      <x:c r="J16" s="3"/>
      <x:c r="K16" s="3"/>
      <x:c r="L16" s="3"/>
      <x:c r="M16" s="3"/>
      <x:c r="N16" s="3"/>
      <x:c r="O16" s="3"/>
      <x:c r="P16" s="3"/>
    </x:row>
    <x:row r="17" ht="42" customHeight="1">
      <x:c r="A17" s="3" t="str">
        <x:v>- 各章で参照する「共通の前提」は本節と当該章の起点・出力形式を指す。単体試験で扱う検索対象選定・状態変更の境界も含めるが、外部システム取込・チームの排他操作等は別途結合試験を行う。</x:v>
      </x:c>
      <x:c r="B17" s="3"/>
      <x:c r="C17" s="3"/>
      <x:c r="D17" s="3"/>
      <x:c r="E17" s="3"/>
      <x:c r="F17" s="3"/>
      <x:c r="G17" s="3"/>
      <x:c r="H17" s="3"/>
      <x:c r="I17" s="3"/>
      <x:c r="J17" s="3"/>
      <x:c r="K17" s="3"/>
      <x:c r="L17" s="3"/>
      <x:c r="M17" s="3"/>
      <x:c r="N17" s="3"/>
      <x:c r="O17" s="3"/>
      <x:c r="P17" s="3"/>
    </x:row>
    <x:row r="18" ht="42" customHeight="1">
      <x:c r="A18" s="3" t="str">
        <x:v>ブラウザの保存方法は設定によって自動保存／保存先確認に分かれる。ネイティブ保存ダイアログの有無、Excel自動起動、アイコン・ダイアログタイトルをWebの合否にしない。取得後は手動でExcelを開く。キャンセルは「アプリの登録・発行確認の取消」と「ブラウザ保存の取消」を区別する。</x:v>
      </x:c>
      <x:c r="B18" s="3"/>
      <x:c r="C18" s="3"/>
      <x:c r="D18" s="3"/>
      <x:c r="E18" s="3"/>
      <x:c r="F18" s="3"/>
      <x:c r="G18" s="3"/>
      <x:c r="H18" s="3"/>
      <x:c r="I18" s="3"/>
      <x:c r="J18" s="3"/>
      <x:c r="K18" s="3"/>
      <x:c r="L18" s="3"/>
      <x:c r="M18" s="3"/>
      <x:c r="N18" s="3"/>
      <x:c r="O18" s="3"/>
      <x:c r="P18" s="3"/>
    </x:row>
    <x:row r="19" ht="42" customHeight="1">
      <x:c r="A19" s="3" t="str">
        <x:v>未確認条件Q01〜Q06にかかるケースは、先に基準を確定する。未確定・未実施は合格に数えない。画面をクリックできてもサーバ側で不許可なら出力しない。大量件数は「出力ができた」だけでなく漏れ・重複・末尾・応答を確認する。</x:v>
      </x:c>
      <x:c r="B19" s="3"/>
      <x:c r="C19" s="3"/>
      <x:c r="D19" s="3"/>
      <x:c r="E19" s="3"/>
      <x:c r="F19" s="3"/>
      <x:c r="G19" s="3"/>
      <x:c r="H19" s="3"/>
      <x:c r="I19" s="3"/>
      <x:c r="J19" s="3"/>
      <x:c r="K19" s="3"/>
      <x:c r="L19" s="3"/>
      <x:c r="M19" s="3"/>
      <x:c r="N19" s="3"/>
      <x:c r="O19" s="3"/>
      <x:c r="P19" s="3"/>
    </x:row>
    <x:row r="20" ht="52" customHeight="1">
      <x:c r="A20" s="3" t="str">
        <x:v>最新Webの帳票Service・起動元Controller、VBのExcel／Constant・起動元イベント・共通通知処理、Web内8原紙を照合した。Web原紙はApache POIでシート名・セル文字・書式・印刷設定を抽出。提供VB原紙は1001Pと1003Pの2件であり、他6件のWeb原紙を未提供の正式VB原紙と断定しない。</x:v>
      </x:c>
      <x:c r="B20" s="3"/>
      <x:c r="C20" s="3"/>
      <x:c r="D20" s="3"/>
      <x:c r="E20" s="3"/>
      <x:c r="F20" s="3"/>
      <x:c r="G20" s="3"/>
      <x:c r="H20" s="3"/>
      <x:c r="I20" s="3"/>
      <x:c r="J20" s="3"/>
      <x:c r="K20" s="3"/>
      <x:c r="L20" s="3"/>
      <x:c r="M20" s="3"/>
      <x:c r="N20" s="3"/>
      <x:c r="O20" s="3"/>
      <x:c r="P20" s="3"/>
    </x:row>
    <x:row r="21" ht="52" customHeight="1">
      <x:c r="A21" s="3" t="str">
        <x:v>原案で挙げられた詳細値は各ケースに維持したが、全DB取得分岐・全権限名称・全Office印刷結果の実測は未完了。今回の追加で漏れを減らしたレビュー版であり、「VBの全分岐を100%確認済み」「全ケース実行済み」ではない。上記QとFを解決・実施した後に正式版として判定する。</x:v>
      </x:c>
      <x:c r="B21" s="3"/>
      <x:c r="C21" s="3"/>
      <x:c r="D21" s="3"/>
      <x:c r="E21" s="3"/>
      <x:c r="F21" s="3"/>
      <x:c r="G21" s="3"/>
      <x:c r="H21" s="3"/>
      <x:c r="I21" s="3"/>
      <x:c r="J21" s="3"/>
      <x:c r="K21" s="3"/>
      <x:c r="L21" s="3"/>
      <x:c r="M21" s="3"/>
      <x:c r="N21" s="3"/>
      <x:c r="O21" s="3"/>
      <x:c r="P21" s="3"/>
    </x:row>
    <x:row r="22">
      <x:c r="A22" s="3"/>
      <x:c r="B22" s="3"/>
      <x:c r="C22" s="3"/>
      <x:c r="D22" s="3"/>
      <x:c r="E22" s="3"/>
      <x:c r="F22" s="3"/>
      <x:c r="G22" s="3"/>
      <x:c r="H22" s="3"/>
      <x:c r="I22" s="3"/>
      <x:c r="J22" s="3"/>
      <x:c r="K22" s="3"/>
      <x:c r="L22" s="3"/>
      <x:c r="M22" s="3"/>
      <x:c r="N22" s="3"/>
      <x:c r="O22" s="3"/>
      <x:c r="P22" s="3"/>
    </x:row>
    <x:row r="23">
      <x:c r="A23" s="3"/>
      <x:c r="B23" s="3"/>
      <x:c r="C23" s="3"/>
      <x:c r="D23" s="3"/>
      <x:c r="E23" s="3"/>
      <x:c r="F23" s="3"/>
      <x:c r="G23" s="3"/>
      <x:c r="H23" s="3"/>
      <x:c r="I23" s="3"/>
      <x:c r="J23" s="3"/>
      <x:c r="K23" s="3"/>
      <x:c r="L23" s="3"/>
      <x:c r="M23" s="3"/>
      <x:c r="N23" s="3"/>
      <x:c r="O23" s="3"/>
      <x:c r="P23" s="3"/>
    </x:row>
    <x:row r="24">
      <x:c r="A24" s="3"/>
      <x:c r="B24" s="3"/>
      <x:c r="C24" s="3"/>
      <x:c r="D24" s="3"/>
      <x:c r="E24" s="3"/>
      <x:c r="F24" s="3"/>
      <x:c r="G24" s="3"/>
      <x:c r="H24" s="3"/>
      <x:c r="I24" s="3"/>
      <x:c r="J24" s="3"/>
      <x:c r="K24" s="3"/>
      <x:c r="L24" s="3"/>
      <x:c r="M24" s="3"/>
      <x:c r="N24" s="3"/>
      <x:c r="O24" s="3"/>
      <x:c r="P24" s="3"/>
    </x:row>
    <x:row r="25">
      <x:c r="A25" s="3"/>
      <x:c r="B25" s="3"/>
      <x:c r="C25" s="3"/>
      <x:c r="D25" s="3"/>
      <x:c r="E25" s="3"/>
      <x:c r="F25" s="3"/>
      <x:c r="G25" s="3"/>
      <x:c r="H25" s="3"/>
      <x:c r="I25" s="3"/>
      <x:c r="J25" s="3"/>
      <x:c r="K25" s="3"/>
      <x:c r="L25" s="3"/>
      <x:c r="M25" s="3"/>
      <x:c r="N25" s="3"/>
      <x:c r="O25" s="3"/>
      <x:c r="P25" s="3"/>
    </x:row>
    <x:row r="26">
      <x:c r="A26" s="3"/>
      <x:c r="B26" s="3"/>
      <x:c r="C26" s="3"/>
      <x:c r="D26" s="3"/>
      <x:c r="E26" s="3"/>
      <x:c r="F26" s="3"/>
      <x:c r="G26" s="3"/>
      <x:c r="H26" s="3"/>
      <x:c r="I26" s="3"/>
      <x:c r="J26" s="3"/>
      <x:c r="K26" s="3"/>
      <x:c r="L26" s="3"/>
      <x:c r="M26" s="3"/>
      <x:c r="N26" s="3"/>
      <x:c r="O26" s="3"/>
      <x:c r="P26" s="3"/>
    </x:row>
    <x:row r="27">
      <x:c r="A27" s="3"/>
      <x:c r="B27" s="3"/>
      <x:c r="C27" s="3"/>
      <x:c r="D27" s="3"/>
      <x:c r="E27" s="3"/>
      <x:c r="F27" s="3"/>
      <x:c r="G27" s="3"/>
      <x:c r="H27" s="3"/>
      <x:c r="I27" s="3"/>
      <x:c r="J27" s="3"/>
      <x:c r="K27" s="3"/>
      <x:c r="L27" s="3"/>
      <x:c r="M27" s="3"/>
      <x:c r="N27" s="3"/>
      <x:c r="O27" s="3"/>
      <x:c r="P27" s="3"/>
    </x:row>
    <x:row r="28">
      <x:c r="A28" s="3"/>
      <x:c r="B28" s="3"/>
      <x:c r="C28" s="3"/>
      <x:c r="D28" s="3"/>
      <x:c r="E28" s="3"/>
      <x:c r="F28" s="3"/>
      <x:c r="G28" s="3"/>
      <x:c r="H28" s="3"/>
      <x:c r="I28" s="3"/>
      <x:c r="J28" s="3"/>
      <x:c r="K28" s="3"/>
      <x:c r="L28" s="3"/>
      <x:c r="M28" s="3"/>
      <x:c r="N28" s="3"/>
      <x:c r="O28" s="3"/>
      <x:c r="P28" s="3"/>
    </x:row>
    <x:row r="29">
      <x:c r="A29" s="3"/>
      <x:c r="B29" s="3"/>
      <x:c r="C29" s="3"/>
      <x:c r="D29" s="3"/>
      <x:c r="E29" s="3"/>
      <x:c r="F29" s="3"/>
      <x:c r="G29" s="3"/>
      <x:c r="H29" s="3"/>
      <x:c r="I29" s="3"/>
      <x:c r="J29" s="3"/>
      <x:c r="K29" s="3"/>
      <x:c r="L29" s="3"/>
      <x:c r="M29" s="3"/>
      <x:c r="N29" s="3"/>
      <x:c r="O29" s="3"/>
      <x:c r="P29" s="3"/>
    </x:row>
    <x:row r="30">
      <x:c r="A30" s="3"/>
      <x:c r="B30" s="3"/>
      <x:c r="C30" s="3"/>
      <x:c r="D30" s="3"/>
      <x:c r="E30" s="3"/>
      <x:c r="F30" s="3"/>
      <x:c r="G30" s="3"/>
      <x:c r="H30" s="3"/>
      <x:c r="I30" s="3"/>
      <x:c r="J30" s="3"/>
      <x:c r="K30" s="3"/>
      <x:c r="L30" s="3"/>
      <x:c r="M30" s="3"/>
      <x:c r="N30" s="3"/>
      <x:c r="O30" s="3"/>
      <x:c r="P30" s="3"/>
    </x:row>
    <x:row r="31">
      <x:c r="A31" s="3"/>
      <x:c r="B31" s="3"/>
      <x:c r="C31" s="3"/>
      <x:c r="D31" s="3"/>
      <x:c r="E31" s="3"/>
      <x:c r="F31" s="3"/>
      <x:c r="G31" s="3"/>
      <x:c r="H31" s="3"/>
      <x:c r="I31" s="3"/>
      <x:c r="J31" s="3"/>
      <x:c r="K31" s="3"/>
      <x:c r="L31" s="3"/>
      <x:c r="M31" s="3"/>
      <x:c r="N31" s="3"/>
      <x:c r="O31" s="3"/>
      <x:c r="P31" s="3"/>
    </x:row>
    <x:row r="32">
      <x:c r="A32" s="3"/>
      <x:c r="B32" s="3"/>
      <x:c r="C32" s="3"/>
      <x:c r="D32" s="3"/>
      <x:c r="E32" s="3"/>
      <x:c r="F32" s="3"/>
      <x:c r="G32" s="3"/>
      <x:c r="H32" s="3"/>
      <x:c r="I32" s="3"/>
      <x:c r="J32" s="3"/>
      <x:c r="K32" s="3"/>
      <x:c r="L32" s="3"/>
      <x:c r="M32" s="3"/>
      <x:c r="N32" s="3"/>
      <x:c r="O32" s="3"/>
      <x:c r="P32" s="3"/>
    </x:row>
    <x:row r="33">
      <x:c r="A33" s="3"/>
      <x:c r="B33" s="3"/>
      <x:c r="C33" s="3"/>
      <x:c r="D33" s="3"/>
      <x:c r="E33" s="3"/>
      <x:c r="F33" s="3"/>
      <x:c r="G33" s="3"/>
      <x:c r="H33" s="3"/>
      <x:c r="I33" s="3"/>
      <x:c r="J33" s="3"/>
      <x:c r="K33" s="3"/>
      <x:c r="L33" s="3"/>
      <x:c r="M33" s="3"/>
      <x:c r="N33" s="3"/>
      <x:c r="O33" s="3"/>
      <x:c r="P33" s="3"/>
    </x:row>
    <x:row r="34">
      <x:c r="A34" s="3"/>
      <x:c r="B34" s="3"/>
      <x:c r="C34" s="3"/>
      <x:c r="D34" s="3"/>
      <x:c r="E34" s="3"/>
      <x:c r="F34" s="3"/>
      <x:c r="G34" s="3"/>
      <x:c r="H34" s="3"/>
      <x:c r="I34" s="3"/>
      <x:c r="J34" s="3"/>
      <x:c r="K34" s="3"/>
      <x:c r="L34" s="3"/>
      <x:c r="M34" s="3"/>
      <x:c r="N34" s="3"/>
      <x:c r="O34" s="3"/>
      <x:c r="P34" s="3"/>
    </x:row>
    <x:row r="35">
      <x:c r="A35" s="3"/>
      <x:c r="B35" s="3"/>
      <x:c r="C35" s="3"/>
      <x:c r="D35" s="3"/>
      <x:c r="E35" s="3"/>
      <x:c r="F35" s="3"/>
      <x:c r="G35" s="3"/>
      <x:c r="H35" s="3"/>
      <x:c r="I35" s="3"/>
      <x:c r="J35" s="3"/>
      <x:c r="K35" s="3"/>
      <x:c r="L35" s="3"/>
      <x:c r="M35" s="3"/>
      <x:c r="N35" s="3"/>
      <x:c r="O35" s="3"/>
      <x:c r="P35" s="3"/>
    </x:row>
    <x:row r="36">
      <x:c r="A36" s="3"/>
      <x:c r="B36" s="3"/>
      <x:c r="C36" s="3"/>
      <x:c r="D36" s="3"/>
      <x:c r="E36" s="3"/>
      <x:c r="F36" s="3"/>
      <x:c r="G36" s="3"/>
      <x:c r="H36" s="3"/>
      <x:c r="I36" s="3"/>
      <x:c r="J36" s="3"/>
      <x:c r="K36" s="3"/>
      <x:c r="L36" s="3"/>
      <x:c r="M36" s="3"/>
      <x:c r="N36" s="3"/>
      <x:c r="O36" s="3"/>
      <x:c r="P36" s="3"/>
    </x:row>
    <x:row r="37">
      <x:c r="A37" s="3"/>
      <x:c r="B37" s="3"/>
      <x:c r="C37" s="3"/>
      <x:c r="D37" s="3"/>
      <x:c r="E37" s="3"/>
      <x:c r="F37" s="3"/>
      <x:c r="G37" s="3"/>
      <x:c r="H37" s="3"/>
      <x:c r="I37" s="3"/>
      <x:c r="J37" s="3"/>
      <x:c r="K37" s="3"/>
      <x:c r="L37" s="3"/>
      <x:c r="M37" s="3"/>
      <x:c r="N37" s="3"/>
      <x:c r="O37" s="3"/>
      <x:c r="P37" s="3"/>
    </x:row>
    <x:row r="38">
      <x:c r="A38" s="3"/>
      <x:c r="B38" s="3"/>
      <x:c r="C38" s="3"/>
      <x:c r="D38" s="3"/>
      <x:c r="E38" s="3"/>
      <x:c r="F38" s="3"/>
      <x:c r="G38" s="3"/>
      <x:c r="H38" s="3"/>
      <x:c r="I38" s="3"/>
      <x:c r="J38" s="3"/>
      <x:c r="K38" s="3"/>
      <x:c r="L38" s="3"/>
      <x:c r="M38" s="3"/>
      <x:c r="N38" s="3"/>
      <x:c r="O38" s="3"/>
      <x:c r="P38" s="3"/>
    </x:row>
    <x:row r="39">
      <x:c r="A39" s="3"/>
      <x:c r="B39" s="3"/>
      <x:c r="C39" s="3"/>
      <x:c r="D39" s="3"/>
      <x:c r="E39" s="3"/>
      <x:c r="F39" s="3"/>
      <x:c r="G39" s="3"/>
      <x:c r="H39" s="3"/>
      <x:c r="I39" s="3"/>
      <x:c r="J39" s="3"/>
      <x:c r="K39" s="3"/>
      <x:c r="L39" s="3"/>
      <x:c r="M39" s="3"/>
      <x:c r="N39" s="3"/>
      <x:c r="O39" s="3"/>
      <x:c r="P39" s="3"/>
    </x:row>
    <x:row r="40">
      <x:c r="A40" s="3"/>
      <x:c r="B40" s="3"/>
      <x:c r="C40" s="3"/>
      <x:c r="D40" s="3"/>
      <x:c r="E40" s="3"/>
      <x:c r="F40" s="3"/>
      <x:c r="G40" s="3"/>
      <x:c r="H40" s="3"/>
      <x:c r="I40" s="3"/>
      <x:c r="J40" s="3"/>
      <x:c r="K40" s="3"/>
      <x:c r="L40" s="3"/>
      <x:c r="M40" s="3"/>
      <x:c r="N40" s="3"/>
      <x:c r="O40" s="3"/>
      <x:c r="P40" s="3"/>
    </x:row>
    <x:row r="41">
      <x:c r="A41" s="3"/>
      <x:c r="B41" s="3"/>
      <x:c r="C41" s="3"/>
      <x:c r="D41" s="3"/>
      <x:c r="E41" s="3"/>
      <x:c r="F41" s="3"/>
      <x:c r="G41" s="3"/>
      <x:c r="H41" s="3"/>
      <x:c r="I41" s="3"/>
      <x:c r="J41" s="3"/>
      <x:c r="K41" s="3"/>
      <x:c r="L41" s="3"/>
      <x:c r="M41" s="3"/>
      <x:c r="N41" s="3"/>
      <x:c r="O41" s="3"/>
      <x:c r="P41" s="3"/>
    </x:row>
    <x:row r="42">
      <x:c r="A42" s="3"/>
      <x:c r="B42" s="3"/>
      <x:c r="C42" s="3"/>
      <x:c r="D42" s="3"/>
      <x:c r="E42" s="3"/>
      <x:c r="F42" s="3"/>
      <x:c r="G42" s="3"/>
      <x:c r="H42" s="3"/>
      <x:c r="I42" s="3"/>
      <x:c r="J42" s="3"/>
      <x:c r="K42" s="3"/>
      <x:c r="L42" s="3"/>
      <x:c r="M42" s="3"/>
      <x:c r="N42" s="3"/>
      <x:c r="O42" s="3"/>
      <x:c r="P42" s="3"/>
    </x:row>
    <x:row r="43">
      <x:c r="A43" s="3"/>
      <x:c r="B43" s="3"/>
      <x:c r="C43" s="3"/>
      <x:c r="D43" s="3"/>
      <x:c r="E43" s="3"/>
      <x:c r="F43" s="3"/>
      <x:c r="G43" s="3"/>
      <x:c r="H43" s="3"/>
      <x:c r="I43" s="3"/>
      <x:c r="J43" s="3"/>
      <x:c r="K43" s="3"/>
      <x:c r="L43" s="3"/>
      <x:c r="M43" s="3"/>
      <x:c r="N43" s="3"/>
      <x:c r="O43" s="3"/>
      <x:c r="P43" s="3"/>
    </x:row>
    <x:row r="44">
      <x:c r="A44" s="3"/>
      <x:c r="B44" s="3"/>
      <x:c r="C44" s="3"/>
      <x:c r="D44" s="3"/>
      <x:c r="E44" s="3"/>
      <x:c r="F44" s="3"/>
      <x:c r="G44" s="3"/>
      <x:c r="H44" s="3"/>
      <x:c r="I44" s="3"/>
      <x:c r="J44" s="3"/>
      <x:c r="K44" s="3"/>
      <x:c r="L44" s="3"/>
      <x:c r="M44" s="3"/>
      <x:c r="N44" s="3"/>
      <x:c r="O44" s="3"/>
      <x:c r="P44" s="3"/>
    </x:row>
    <x:row r="45">
      <x:c r="A45" s="3"/>
      <x:c r="B45" s="3"/>
      <x:c r="C45" s="3"/>
      <x:c r="D45" s="3"/>
      <x:c r="E45" s="3"/>
      <x:c r="F45" s="3"/>
      <x:c r="G45" s="3"/>
      <x:c r="H45" s="3"/>
      <x:c r="I45" s="3"/>
      <x:c r="J45" s="3"/>
      <x:c r="K45" s="3"/>
      <x:c r="L45" s="3"/>
      <x:c r="M45" s="3"/>
      <x:c r="N45" s="3"/>
      <x:c r="O45" s="3"/>
      <x:c r="P45" s="3"/>
    </x:row>
    <x:row r="46">
      <x:c r="A46" s="3"/>
      <x:c r="B46" s="3"/>
      <x:c r="C46" s="3"/>
      <x:c r="D46" s="3"/>
      <x:c r="E46" s="3"/>
      <x:c r="F46" s="3"/>
      <x:c r="G46" s="3"/>
      <x:c r="H46" s="3"/>
      <x:c r="I46" s="3"/>
      <x:c r="J46" s="3"/>
      <x:c r="K46" s="3"/>
      <x:c r="L46" s="3"/>
      <x:c r="M46" s="3"/>
      <x:c r="N46" s="3"/>
      <x:c r="O46" s="3"/>
      <x:c r="P46" s="3"/>
    </x:row>
    <x:row r="47">
      <x:c r="A47" s="3"/>
      <x:c r="B47" s="3"/>
      <x:c r="C47" s="3"/>
      <x:c r="D47" s="3"/>
      <x:c r="E47" s="3"/>
      <x:c r="F47" s="3"/>
      <x:c r="G47" s="3"/>
      <x:c r="H47" s="3"/>
      <x:c r="I47" s="3"/>
      <x:c r="J47" s="3"/>
      <x:c r="K47" s="3"/>
      <x:c r="L47" s="3"/>
      <x:c r="M47" s="3"/>
      <x:c r="N47" s="3"/>
      <x:c r="O47" s="3"/>
      <x:c r="P47" s="3"/>
    </x:row>
    <x:row r="48">
      <x:c r="A48" s="3"/>
      <x:c r="B48" s="3"/>
      <x:c r="C48" s="3"/>
      <x:c r="D48" s="3"/>
      <x:c r="E48" s="3"/>
      <x:c r="F48" s="3"/>
      <x:c r="G48" s="3"/>
      <x:c r="H48" s="3"/>
      <x:c r="I48" s="3"/>
      <x:c r="J48" s="3"/>
      <x:c r="K48" s="3"/>
      <x:c r="L48" s="3"/>
      <x:c r="M48" s="3"/>
      <x:c r="N48" s="3"/>
      <x:c r="O48" s="3"/>
      <x:c r="P48" s="3"/>
    </x:row>
    <x:row r="49">
      <x:c r="A49" s="3"/>
      <x:c r="B49" s="3"/>
      <x:c r="C49" s="3"/>
      <x:c r="D49" s="3"/>
      <x:c r="E49" s="3"/>
      <x:c r="F49" s="3"/>
      <x:c r="G49" s="3"/>
      <x:c r="H49" s="3"/>
      <x:c r="I49" s="3"/>
      <x:c r="J49" s="3"/>
      <x:c r="K49" s="3"/>
      <x:c r="L49" s="3"/>
      <x:c r="M49" s="3"/>
      <x:c r="N49" s="3"/>
      <x:c r="O49" s="3"/>
      <x:c r="P49" s="3"/>
    </x:row>
    <x:row r="50">
      <x:c r="A50" s="3"/>
      <x:c r="B50" s="3"/>
      <x:c r="C50" s="3"/>
      <x:c r="D50" s="3"/>
      <x:c r="E50" s="3"/>
      <x:c r="F50" s="3"/>
      <x:c r="G50" s="3"/>
      <x:c r="H50" s="3"/>
      <x:c r="I50" s="3"/>
      <x:c r="J50" s="3"/>
      <x:c r="K50" s="3"/>
      <x:c r="L50" s="3"/>
      <x:c r="M50" s="3"/>
      <x:c r="N50" s="3"/>
      <x:c r="O50" s="3"/>
      <x:c r="P50" s="3"/>
    </x:row>
    <x:row r="51">
      <x:c r="A51" s="3"/>
      <x:c r="B51" s="3"/>
      <x:c r="C51" s="3"/>
      <x:c r="D51" s="3"/>
      <x:c r="E51" s="3"/>
      <x:c r="F51" s="3"/>
      <x:c r="G51" s="3"/>
      <x:c r="H51" s="3"/>
      <x:c r="I51" s="3"/>
      <x:c r="J51" s="3"/>
      <x:c r="K51" s="3"/>
      <x:c r="L51" s="3"/>
      <x:c r="M51" s="3"/>
      <x:c r="N51" s="3"/>
      <x:c r="O51" s="3"/>
      <x:c r="P51" s="3"/>
    </x:row>
    <x:row r="52">
      <x:c r="A52" s="3"/>
      <x:c r="B52" s="3"/>
      <x:c r="C52" s="3"/>
      <x:c r="D52" s="3"/>
      <x:c r="E52" s="3"/>
      <x:c r="F52" s="3"/>
      <x:c r="G52" s="3"/>
      <x:c r="H52" s="3"/>
      <x:c r="I52" s="3"/>
      <x:c r="J52" s="3"/>
      <x:c r="K52" s="3"/>
      <x:c r="L52" s="3"/>
      <x:c r="M52" s="3"/>
      <x:c r="N52" s="3"/>
      <x:c r="O52" s="3"/>
      <x:c r="P52" s="3"/>
    </x:row>
    <x:row r="53">
      <x:c r="A53" s="3"/>
      <x:c r="B53" s="3"/>
      <x:c r="C53" s="3"/>
      <x:c r="D53" s="3"/>
      <x:c r="E53" s="3"/>
      <x:c r="F53" s="3"/>
      <x:c r="G53" s="3"/>
      <x:c r="H53" s="3"/>
      <x:c r="I53" s="3"/>
      <x:c r="J53" s="3"/>
      <x:c r="K53" s="3"/>
      <x:c r="L53" s="3"/>
      <x:c r="M53" s="3"/>
      <x:c r="N53" s="3"/>
      <x:c r="O53" s="3"/>
      <x:c r="P53" s="3"/>
    </x:row>
    <x:row r="54">
      <x:c r="A54" s="3"/>
      <x:c r="B54" s="3"/>
      <x:c r="C54" s="3"/>
      <x:c r="D54" s="3"/>
      <x:c r="E54" s="3"/>
      <x:c r="F54" s="3"/>
      <x:c r="G54" s="3"/>
      <x:c r="H54" s="3"/>
      <x:c r="I54" s="3"/>
      <x:c r="J54" s="3"/>
      <x:c r="K54" s="3"/>
      <x:c r="L54" s="3"/>
      <x:c r="M54" s="3"/>
      <x:c r="N54" s="3"/>
      <x:c r="O54" s="3"/>
      <x:c r="P54" s="3"/>
    </x:row>
    <x:row r="55">
      <x:c r="A55" s="3"/>
      <x:c r="B55" s="3"/>
      <x:c r="C55" s="3"/>
      <x:c r="D55" s="3"/>
      <x:c r="E55" s="3"/>
      <x:c r="F55" s="3"/>
      <x:c r="G55" s="3"/>
      <x:c r="H55" s="3"/>
      <x:c r="I55" s="3"/>
      <x:c r="J55" s="3"/>
      <x:c r="K55" s="3"/>
      <x:c r="L55" s="3"/>
      <x:c r="M55" s="3"/>
      <x:c r="N55" s="3"/>
      <x:c r="O55" s="3"/>
      <x:c r="P55" s="3"/>
    </x:row>
    <x:row r="56">
      <x:c r="A56" s="3"/>
      <x:c r="B56" s="3"/>
      <x:c r="C56" s="3"/>
      <x:c r="D56" s="3"/>
      <x:c r="E56" s="3"/>
      <x:c r="F56" s="3"/>
      <x:c r="G56" s="3"/>
      <x:c r="H56" s="3"/>
      <x:c r="I56" s="3"/>
      <x:c r="J56" s="3"/>
      <x:c r="K56" s="3"/>
      <x:c r="L56" s="3"/>
      <x:c r="M56" s="3"/>
      <x:c r="N56" s="3"/>
      <x:c r="O56" s="3"/>
      <x:c r="P56" s="3"/>
    </x:row>
    <x:row r="57">
      <x:c r="A57" s="3"/>
      <x:c r="B57" s="3"/>
      <x:c r="C57" s="3"/>
      <x:c r="D57" s="3"/>
      <x:c r="E57" s="3"/>
      <x:c r="F57" s="3"/>
      <x:c r="G57" s="3"/>
      <x:c r="H57" s="3"/>
      <x:c r="I57" s="3"/>
      <x:c r="J57" s="3"/>
      <x:c r="K57" s="3"/>
      <x:c r="L57" s="3"/>
      <x:c r="M57" s="3"/>
      <x:c r="N57" s="3"/>
      <x:c r="O57" s="3"/>
      <x:c r="P57" s="3"/>
    </x:row>
    <x:row r="58">
      <x:c r="A58" s="3"/>
      <x:c r="B58" s="3"/>
      <x:c r="C58" s="3"/>
      <x:c r="D58" s="3"/>
      <x:c r="E58" s="3"/>
      <x:c r="F58" s="3"/>
      <x:c r="G58" s="3"/>
      <x:c r="H58" s="3"/>
      <x:c r="I58" s="3"/>
      <x:c r="J58" s="3"/>
      <x:c r="K58" s="3"/>
      <x:c r="L58" s="3"/>
      <x:c r="M58" s="3"/>
      <x:c r="N58" s="3"/>
      <x:c r="O58" s="3"/>
      <x:c r="P58" s="3"/>
    </x:row>
    <x:row r="59">
      <x:c r="A59" s="3"/>
      <x:c r="B59" s="3"/>
      <x:c r="C59" s="3"/>
      <x:c r="D59" s="3"/>
      <x:c r="E59" s="3"/>
      <x:c r="F59" s="3"/>
      <x:c r="G59" s="3"/>
      <x:c r="H59" s="3"/>
      <x:c r="I59" s="3"/>
      <x:c r="J59" s="3"/>
      <x:c r="K59" s="3"/>
      <x:c r="L59" s="3"/>
      <x:c r="M59" s="3"/>
      <x:c r="N59" s="3"/>
      <x:c r="O59" s="3"/>
      <x:c r="P59" s="3"/>
    </x:row>
    <x:row r="60">
      <x:c r="A60" s="3"/>
      <x:c r="B60" s="3"/>
      <x:c r="C60" s="3"/>
      <x:c r="D60" s="3"/>
      <x:c r="E60" s="3"/>
      <x:c r="F60" s="3"/>
      <x:c r="G60" s="3"/>
      <x:c r="H60" s="3"/>
      <x:c r="I60" s="3"/>
      <x:c r="J60" s="3"/>
      <x:c r="K60" s="3"/>
      <x:c r="L60" s="3"/>
      <x:c r="M60" s="3"/>
      <x:c r="N60" s="3"/>
      <x:c r="O60" s="3"/>
      <x:c r="P60" s="3"/>
    </x:row>
  </x:sheetData>
  <x:mergeCells>
    <x:mergeCell ref="A1:P1"/>
    <x:mergeCell ref="A13:E13"/>
    <x:mergeCell ref="A14:E14"/>
    <x:mergeCell ref="A15:E15"/>
    <x:mergeCell ref="A16:E16"/>
    <x:mergeCell ref="A17:E17"/>
    <x:mergeCell ref="A18:E18"/>
    <x:mergeCell ref="A19:E19"/>
    <x:mergeCell ref="A20:E20"/>
    <x:mergeCell ref="A21:E21"/>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27" topLeftCell="A28" activePane="bottomLeft" state="frozen"/>
    </x:sheetView>
  </x:sheetViews>
  <x:sheetFormatPr defaultRowHeight="15"/>
  <x:cols>
    <x:col min="1" max="1" width="13" hidden="0" customWidth="1"/>
    <x:col min="2" max="2" width="14" hidden="0" customWidth="1"/>
    <x:col min="3" max="3" width="44" hidden="0" customWidth="1"/>
    <x:col min="4" max="4" width="52" hidden="0" customWidth="1"/>
    <x:col min="5" max="5" width="60" hidden="0" customWidth="1"/>
    <x:col min="6" max="6" width="64" hidden="0" customWidth="1"/>
    <x:col min="7" max="7" width="40" hidden="0" customWidth="1"/>
    <x:col min="8" max="8" width="12" hidden="0" customWidth="1"/>
    <x:col min="9" max="9" width="14" hidden="0" customWidth="1"/>
    <x:col min="10" max="10" width="15" hidden="0" customWidth="1"/>
    <x:col min="11" max="11" width="40" hidden="0" customWidth="1"/>
    <x:col min="12" max="12" width="14" hidden="0" customWidth="1"/>
    <x:col min="13" max="13" width="17" hidden="0" customWidth="1"/>
    <x:col min="14" max="14" width="17" hidden="0" customWidth="1"/>
    <x:col min="15" max="15" width="13" hidden="0" customWidth="1"/>
    <x:col min="16" max="16" width="54" hidden="0" customWidth="1"/>
  </x:cols>
  <x:sheetData>
    <x:row r="1" ht="26" customHeight="1">
      <x:c r="A1" s="4" t="str">
        <x:v>MCM1001P_見積依頼書 単体テスト仕様書</x:v>
      </x:c>
      <x:c r="B1" s="4"/>
      <x:c r="C1" s="4"/>
      <x:c r="D1" s="4"/>
      <x:c r="E1" s="4"/>
      <x:c r="F1" s="4"/>
      <x:c r="G1" s="4"/>
      <x:c r="H1" s="4"/>
      <x:c r="I1" s="4"/>
      <x:c r="J1" s="4"/>
      <x:c r="K1" s="4"/>
      <x:c r="L1" s="4"/>
      <x:c r="M1" s="4"/>
      <x:c r="N1" s="4"/>
      <x:c r="O1" s="4"/>
      <x:c r="P1" s="4"/>
    </x:row>
    <x:row r="2">
      <x:c r="A2" s="3"/>
      <x:c r="B2" s="3"/>
      <x:c r="C2" s="3"/>
      <x:c r="D2" s="3"/>
      <x:c r="E2" s="3"/>
      <x:c r="F2" s="3"/>
      <x:c r="G2" s="3"/>
      <x:c r="H2" s="3"/>
      <x:c r="I2" s="3"/>
      <x:c r="J2" s="3"/>
      <x:c r="K2" s="3"/>
      <x:c r="L2" s="3"/>
      <x:c r="M2" s="3"/>
      <x:c r="N2" s="3"/>
      <x:c r="O2" s="3"/>
      <x:c r="P2" s="3"/>
    </x:row>
    <x:row r="3" ht="34" customHeight="1">
      <x:c r="A3" s="3" t="str">
        <x:v>画面情報</x:v>
      </x:c>
      <x:c r="B3" s="3"/>
      <x:c r="C3" s="3"/>
      <x:c r="D3" s="3" t="str">
        <x:v>起点：見積依頼機器選定（MCM1002U）の次の画面で「依頼書発行」。</x:v>
      </x:c>
      <x:c r="E3" s="3"/>
      <x:c r="F3" s="3"/>
      <x:c r="G3" s="3"/>
      <x:c r="H3" s="3"/>
      <x:c r="I3" s="3"/>
      <x:c r="J3" s="3"/>
      <x:c r="K3" s="3"/>
      <x:c r="L3" s="3"/>
      <x:c r="M3" s="3"/>
      <x:c r="N3" s="3"/>
      <x:c r="O3" s="3"/>
      <x:c r="P3" s="3"/>
    </x:row>
    <x:row r="4" ht="48" customHeight="1">
      <x:c r="A4" s="3" t="str">
        <x:v>出力形式・名称</x:v>
      </x:c>
      <x:c r="B4" s="3"/>
      <x:c r="C4" s="3"/>
      <x:c r="D4" s="3" t="str">
        <x:v>取得形式／名前：{見積依頼NO}_{取引先コード}_見積依頼書.xls（複数依頼は全対象を取得。現在の先頭1件のみ出力はF01）。共通W01〜W06も実施する。</x:v>
      </x:c>
      <x:c r="E4" s="3"/>
      <x:c r="F4" s="3"/>
      <x:c r="G4" s="3"/>
      <x:c r="H4" s="3"/>
      <x:c r="I4" s="3"/>
      <x:c r="J4" s="3"/>
      <x:c r="K4" s="3"/>
      <x:c r="L4" s="3"/>
      <x:c r="M4" s="3"/>
      <x:c r="N4" s="3"/>
      <x:c r="O4" s="3"/>
      <x:c r="P4" s="3"/>
    </x:row>
    <x:row r="5">
      <x:c r="A5" s="3"/>
      <x:c r="B5" s="3"/>
      <x:c r="C5" s="3"/>
      <x:c r="D5" s="3"/>
      <x:c r="E5" s="3"/>
      <x:c r="F5" s="3"/>
      <x:c r="G5" s="3"/>
      <x:c r="H5" s="3"/>
      <x:c r="I5" s="3"/>
      <x:c r="J5" s="3"/>
      <x:c r="K5" s="3"/>
      <x:c r="L5" s="3"/>
      <x:c r="M5" s="3"/>
      <x:c r="N5" s="3"/>
      <x:c r="O5" s="3"/>
      <x:c r="P5" s="3"/>
    </x:row>
    <x:row r="6">
      <x:c r="A6" s="6" t="str">
        <x:v>根拠ソース</x:v>
      </x:c>
      <x:c r="B6" s="6" t="str">
        <x:v>根拠ソース</x:v>
      </x:c>
      <x:c r="C6" s="6" t="str">
        <x:v>根拠ソース</x:v>
      </x:c>
      <x:c r="D6" s="6" t="str">
        <x:v>根拠ソース</x:v>
      </x:c>
      <x:c r="E6" s="6" t="str">
        <x:v>根拠ソース</x:v>
      </x:c>
      <x:c r="F6" s="6" t="str">
        <x:v>根拠ソース</x:v>
      </x:c>
      <x:c r="G6" s="6" t="str">
        <x:v>根拠ソース</x:v>
      </x:c>
      <x:c r="H6" s="6" t="str">
        <x:v>根拠ソース</x:v>
      </x:c>
      <x:c r="I6" s="6" t="str">
        <x:v>根拠ソース</x:v>
      </x:c>
      <x:c r="J6" s="6" t="str">
        <x:v>根拠ソース</x:v>
      </x:c>
      <x:c r="K6" s="6" t="str">
        <x:v>根拠ソース</x:v>
      </x:c>
      <x:c r="L6" s="6" t="str">
        <x:v>根拠ソース</x:v>
      </x:c>
      <x:c r="M6" s="6" t="str">
        <x:v>根拠ソース</x:v>
      </x:c>
      <x:c r="N6" s="6" t="str">
        <x:v>根拠ソース</x:v>
      </x:c>
      <x:c r="O6" s="6" t="str">
        <x:v>根拠ソース</x:v>
      </x:c>
      <x:c r="P6" s="6" t="str">
        <x:v>根拠ソース</x:v>
      </x:c>
    </x:row>
    <x:row r="7" ht="26" customHeight="1">
      <x:c r="A7" s="3" t="str">
        <x:v>VB版</x:v>
      </x:c>
      <x:c r="B7" s="3"/>
      <x:c r="C7" s="3"/>
      <x:c r="D7" s="3" t="str">
        <x:v>帳票のExcel.vb・Constant.vb／起動元イベント。既知不具合は再現を合格にしない。</x:v>
      </x:c>
      <x:c r="E7" s="3"/>
      <x:c r="F7" s="3"/>
      <x:c r="G7" s="3"/>
      <x:c r="H7" s="3"/>
      <x:c r="I7" s="3"/>
      <x:c r="J7" s="3"/>
      <x:c r="K7" s="3"/>
      <x:c r="L7" s="3"/>
      <x:c r="M7" s="3"/>
      <x:c r="N7" s="3"/>
      <x:c r="O7" s="3"/>
      <x:c r="P7" s="3"/>
    </x:row>
    <x:row r="8" ht="26" customHeight="1">
      <x:c r="A8" s="3" t="str">
        <x:v>Java版</x:v>
      </x:c>
      <x:c r="B8" s="3"/>
      <x:c r="C8" s="3"/>
      <x:c r="D8" s="3" t="str">
        <x:v>最新Webの帳票Service・起動元Controller。本文の備考／根拠欄とMD末尾を参照。</x:v>
      </x:c>
      <x:c r="E8" s="3"/>
      <x:c r="F8" s="3"/>
      <x:c r="G8" s="3"/>
      <x:c r="H8" s="3"/>
      <x:c r="I8" s="3"/>
      <x:c r="J8" s="3"/>
      <x:c r="K8" s="3"/>
      <x:c r="L8" s="3"/>
      <x:c r="M8" s="3"/>
      <x:c r="N8" s="3"/>
      <x:c r="O8" s="3"/>
      <x:c r="P8" s="3"/>
    </x:row>
    <x:row r="9" ht="26" customHeight="1">
      <x:c r="A9" s="3" t="str">
        <x:v>メッセージ</x:v>
      </x:c>
      <x:c r="B9" s="3"/>
      <x:c r="C9" s="3"/>
      <x:c r="D9" s="3" t="str">
        <x:v>Web画面の通知で判断。VBのネイティブダイアログ・Excel自動起動を要求しない。</x:v>
      </x:c>
      <x:c r="E9" s="3"/>
      <x:c r="F9" s="3"/>
      <x:c r="G9" s="3"/>
      <x:c r="H9" s="3"/>
      <x:c r="I9" s="3"/>
      <x:c r="J9" s="3"/>
      <x:c r="K9" s="3"/>
      <x:c r="L9" s="3"/>
      <x:c r="M9" s="3"/>
      <x:c r="N9" s="3"/>
      <x:c r="O9" s="3"/>
      <x:c r="P9" s="3"/>
    </x:row>
    <x:row r="10" ht="26" customHeight="1">
      <x:c r="A10" s="3" t="str">
        <x:v>参照資料</x:v>
      </x:c>
      <x:c r="B10" s="3"/>
      <x:c r="C10" s="3"/>
      <x:c r="D10" s="3" t="str">
        <x:v>同梱MDの共通確認・F01〜F04・Q01〜Q06。正式な実機確認結果はこれから記入する。</x:v>
      </x:c>
      <x:c r="E10" s="3"/>
      <x:c r="F10" s="3"/>
      <x:c r="G10" s="3"/>
      <x:c r="H10" s="3"/>
      <x:c r="I10" s="3"/>
      <x:c r="J10" s="3"/>
      <x:c r="K10" s="3"/>
      <x:c r="L10" s="3"/>
      <x:c r="M10" s="3"/>
      <x:c r="N10" s="3"/>
      <x:c r="O10" s="3"/>
      <x:c r="P10" s="3"/>
    </x:row>
    <x:row r="11">
      <x:c r="A11" s="3"/>
      <x:c r="B11" s="3"/>
      <x:c r="C11" s="3"/>
      <x:c r="D11" s="3"/>
      <x:c r="E11" s="3"/>
      <x:c r="F11" s="3"/>
      <x:c r="G11" s="3"/>
      <x:c r="H11" s="3"/>
      <x:c r="I11" s="3"/>
      <x:c r="J11" s="3"/>
      <x:c r="K11" s="3"/>
      <x:c r="L11" s="3"/>
      <x:c r="M11" s="3"/>
      <x:c r="N11" s="3"/>
      <x:c r="O11" s="3"/>
      <x:c r="P11" s="3"/>
    </x:row>
    <x:row r="12">
      <x:c r="A12" s="3"/>
      <x:c r="B12" s="3"/>
      <x:c r="C12" s="3"/>
      <x:c r="D12" s="3"/>
      <x:c r="E12" s="3"/>
      <x:c r="F12" s="3"/>
      <x:c r="G12" s="3"/>
      <x:c r="H12" s="3"/>
      <x:c r="I12" s="3"/>
      <x:c r="J12" s="3"/>
      <x:c r="K12" s="3"/>
      <x:c r="L12" s="3"/>
      <x:c r="M12" s="3"/>
      <x:c r="N12" s="3"/>
      <x:c r="O12" s="3"/>
      <x:c r="P12" s="3"/>
    </x:row>
    <x:row r="13">
      <x:c r="A13" s="3"/>
      <x:c r="B13" s="3"/>
      <x:c r="C13" s="3"/>
      <x:c r="D13" s="3"/>
      <x:c r="E13" s="3"/>
      <x:c r="F13" s="3"/>
      <x:c r="G13" s="3"/>
      <x:c r="H13" s="3"/>
      <x:c r="I13" s="3"/>
      <x:c r="J13" s="3"/>
      <x:c r="K13" s="3"/>
      <x:c r="L13" s="3"/>
      <x:c r="M13" s="3"/>
      <x:c r="N13" s="3"/>
      <x:c r="O13" s="3"/>
      <x:c r="P13" s="3"/>
    </x:row>
    <x:row r="14">
      <x:c r="A14" s="6" t="str">
        <x:v>機能一覧</x:v>
      </x:c>
      <x:c r="B14" s="6" t="str">
        <x:v>機能一覧</x:v>
      </x:c>
      <x:c r="C14" s="6" t="str">
        <x:v>機能一覧</x:v>
      </x:c>
      <x:c r="D14" s="6" t="str">
        <x:v>機能一覧</x:v>
      </x:c>
      <x:c r="E14" s="6" t="str">
        <x:v>機能一覧</x:v>
      </x:c>
      <x:c r="F14" s="6" t="str">
        <x:v>機能一覧</x:v>
      </x:c>
      <x:c r="G14" s="6" t="str">
        <x:v>機能一覧</x:v>
      </x:c>
      <x:c r="H14" s="6" t="str">
        <x:v>機能一覧</x:v>
      </x:c>
      <x:c r="I14" s="6" t="str">
        <x:v>機能一覧</x:v>
      </x:c>
      <x:c r="J14" s="6" t="str">
        <x:v>機能一覧</x:v>
      </x:c>
      <x:c r="K14" s="6" t="str">
        <x:v>機能一覧</x:v>
      </x:c>
      <x:c r="L14" s="6" t="str">
        <x:v>機能一覧</x:v>
      </x:c>
      <x:c r="M14" s="6" t="str">
        <x:v>機能一覧</x:v>
      </x:c>
      <x:c r="N14" s="6" t="str">
        <x:v>機能一覧</x:v>
      </x:c>
      <x:c r="O14" s="6" t="str">
        <x:v>機能一覧</x:v>
      </x:c>
      <x:c r="P14" s="6" t="str">
        <x:v>機能一覧</x:v>
      </x:c>
    </x:row>
    <x:row r="15">
      <x:c r="A15" s="3"/>
      <x:c r="B15" s="3"/>
      <x:c r="C15" s="3"/>
      <x:c r="D15" s="3"/>
      <x:c r="E15" s="3"/>
      <x:c r="F15" s="3"/>
      <x:c r="G15" s="3"/>
      <x:c r="H15" s="3"/>
      <x:c r="I15" s="3"/>
      <x:c r="J15" s="3"/>
      <x:c r="K15" s="3"/>
      <x:c r="L15" s="3"/>
      <x:c r="M15" s="3"/>
      <x:c r="N15" s="3"/>
      <x:c r="O15" s="3"/>
      <x:c r="P15" s="3"/>
    </x:row>
    <x:row r="16" ht="26" customHeight="1">
      <x:c r="A16" s="3" t="str">
        <x:v>1</x:v>
      </x:c>
      <x:c r="B16" s="3"/>
      <x:c r="C16" s="3"/>
      <x:c r="D16" s="3" t="str">
        <x:v>帳票の対象・項目・シート構成・表示書式・印刷の確認</x:v>
      </x:c>
      <x:c r="E16" s="3"/>
      <x:c r="F16" s="3"/>
      <x:c r="G16" s="3"/>
      <x:c r="H16" s="3"/>
      <x:c r="I16" s="3"/>
      <x:c r="J16" s="3"/>
      <x:c r="K16" s="3"/>
      <x:c r="L16" s="3"/>
      <x:c r="M16" s="3"/>
      <x:c r="N16" s="3"/>
      <x:c r="O16" s="3"/>
      <x:c r="P16" s="3"/>
    </x:row>
    <x:row r="17" ht="26" customHeight="1">
      <x:c r="A17" s="3" t="str">
        <x:v>2</x:v>
      </x:c>
      <x:c r="B17" s="3"/>
      <x:c r="C17" s="3"/>
      <x:c r="D17" s="3" t="str">
        <x:v>0件・入力不備・権限・失敗・境界・計算条件の確認</x:v>
      </x:c>
      <x:c r="E17" s="3"/>
      <x:c r="F17" s="3"/>
      <x:c r="G17" s="3"/>
      <x:c r="H17" s="3"/>
      <x:c r="I17" s="3"/>
      <x:c r="J17" s="3"/>
      <x:c r="K17" s="3"/>
      <x:c r="L17" s="3"/>
      <x:c r="M17" s="3"/>
      <x:c r="N17" s="3"/>
      <x:c r="O17" s="3"/>
      <x:c r="P17" s="3"/>
    </x:row>
    <x:row r="18" ht="26" customHeight="1">
      <x:c r="A18" s="3" t="str">
        <x:v>3</x:v>
      </x:c>
      <x:c r="B18" s="3"/>
      <x:c r="C18" s="3"/>
      <x:c r="D18" s="3" t="str">
        <x:v>共通確認を関連ケースで実施し、重複する取得操作は再利用</x:v>
      </x:c>
      <x:c r="E18" s="3"/>
      <x:c r="F18" s="3"/>
      <x:c r="G18" s="3"/>
      <x:c r="H18" s="3"/>
      <x:c r="I18" s="3"/>
      <x:c r="J18" s="3"/>
      <x:c r="K18" s="3"/>
      <x:c r="L18" s="3"/>
      <x:c r="M18" s="3"/>
      <x:c r="N18" s="3"/>
      <x:c r="O18" s="3"/>
      <x:c r="P18" s="3"/>
    </x:row>
    <x:row r="19">
      <x:c r="A19" s="3"/>
      <x:c r="B19" s="3"/>
      <x:c r="C19" s="3"/>
      <x:c r="D19" s="3"/>
      <x:c r="E19" s="3"/>
      <x:c r="F19" s="3"/>
      <x:c r="G19" s="3"/>
      <x:c r="H19" s="3"/>
      <x:c r="I19" s="3"/>
      <x:c r="J19" s="3"/>
      <x:c r="K19" s="3"/>
      <x:c r="L19" s="3"/>
      <x:c r="M19" s="3"/>
      <x:c r="N19" s="3"/>
      <x:c r="O19" s="3"/>
      <x:c r="P19" s="3"/>
    </x:row>
    <x:row r="20" ht="30" customHeight="1">
      <x:c r="A20" s="3" t="str">
        <x:v>分類</x:v>
      </x:c>
      <x:c r="B20" s="3"/>
      <x:c r="C20" s="3"/>
      <x:c r="D20" s="3" t="str">
        <x:v>出力起点／帳票レイアウト／ヘッダー／明細／シート／ファイル／書式／権限／追加／境界</x:v>
      </x:c>
      <x:c r="E20" s="3"/>
      <x:c r="F20" s="3"/>
      <x:c r="G20" s="3"/>
      <x:c r="H20" s="3"/>
      <x:c r="I20" s="3"/>
      <x:c r="J20" s="3"/>
      <x:c r="K20" s="3"/>
      <x:c r="L20" s="3"/>
      <x:c r="M20" s="3"/>
      <x:c r="N20" s="3"/>
      <x:c r="O20" s="3"/>
      <x:c r="P20" s="3"/>
    </x:row>
    <x:row r="21">
      <x:c r="A21" s="3"/>
      <x:c r="B21" s="3"/>
      <x:c r="C21" s="3"/>
      <x:c r="D21" s="3"/>
      <x:c r="E21" s="3"/>
      <x:c r="F21" s="3"/>
      <x:c r="G21" s="3"/>
      <x:c r="H21" s="3"/>
      <x:c r="I21" s="3"/>
      <x:c r="J21" s="3"/>
      <x:c r="K21" s="3"/>
      <x:c r="L21" s="3"/>
      <x:c r="M21" s="3"/>
      <x:c r="N21" s="3"/>
      <x:c r="O21" s="3"/>
      <x:c r="P21" s="3"/>
    </x:row>
    <x:row r="22">
      <x:c r="A22" s="3"/>
      <x:c r="B22" s="3"/>
      <x:c r="C22" s="3"/>
      <x:c r="D22" s="3"/>
      <x:c r="E22" s="3"/>
      <x:c r="F22" s="3"/>
      <x:c r="G22" s="3"/>
      <x:c r="H22" s="3"/>
      <x:c r="I22" s="3"/>
      <x:c r="J22" s="3"/>
      <x:c r="K22" s="3"/>
      <x:c r="L22" s="3"/>
      <x:c r="M22" s="3"/>
      <x:c r="N22" s="3"/>
      <x:c r="O22" s="3"/>
      <x:c r="P22" s="3"/>
    </x:row>
    <x:row r="23">
      <x:c r="A23" s="3" t="str">
        <x:v>件数</x:v>
      </x:c>
      <x:c r="B23" s="3" t="n">
        <x:f>COUNTA(A29:A54)</x:f>
        <x:v>26</x:v>
      </x:c>
      <x:c r="C23" s="3" t="str">
        <x:v>OK</x:v>
      </x:c>
      <x:c r="D23" s="3" t="n">
        <x:f>COUNTIF(O29:O54,"OK")</x:f>
        <x:v>0</x:v>
      </x:c>
      <x:c r="E23" s="3" t="str">
        <x:v>NG</x:v>
      </x:c>
      <x:c r="F23" s="3" t="n">
        <x:f>COUNTIF(O29:O54,"NG")</x:f>
        <x:v>0</x:v>
      </x:c>
      <x:c r="G23" s="3" t="str">
        <x:v>未実施</x:v>
      </x:c>
      <x:c r="H23" s="3" t="n">
        <x:f>COUNTIF(O29:O54,"未実施")</x:f>
        <x:v>26</x:v>
      </x:c>
      <x:c r="I23" s="3"/>
      <x:c r="J23" s="3"/>
      <x:c r="K23" s="3"/>
      <x:c r="L23" s="3"/>
      <x:c r="M23" s="3"/>
      <x:c r="N23" s="3"/>
      <x:c r="O23" s="3"/>
      <x:c r="P23" s="3"/>
    </x:row>
    <x:row r="24">
      <x:c r="A24" s="3"/>
      <x:c r="B24" s="3"/>
      <x:c r="C24" s="3"/>
      <x:c r="D24" s="3"/>
      <x:c r="E24" s="3"/>
      <x:c r="F24" s="3"/>
      <x:c r="G24" s="3"/>
      <x:c r="H24" s="3"/>
      <x:c r="I24" s="3"/>
      <x:c r="J24" s="3"/>
      <x:c r="K24" s="3"/>
      <x:c r="L24" s="3"/>
      <x:c r="M24" s="3"/>
      <x:c r="N24" s="3"/>
      <x:c r="O24" s="3"/>
      <x:c r="P24" s="3"/>
    </x:row>
    <x:row r="25">
      <x:c r="A25" s="3"/>
      <x:c r="B25" s="3"/>
      <x:c r="C25" s="3"/>
      <x:c r="D25" s="3"/>
      <x:c r="E25" s="3"/>
      <x:c r="F25" s="3"/>
      <x:c r="G25" s="3"/>
      <x:c r="H25" s="3"/>
      <x:c r="I25" s="3"/>
      <x:c r="J25" s="3"/>
      <x:c r="K25" s="3"/>
      <x:c r="L25" s="3"/>
      <x:c r="M25" s="3"/>
      <x:c r="N25" s="3"/>
      <x:c r="O25" s="3"/>
      <x:c r="P25" s="3"/>
    </x:row>
    <x:row r="26">
      <x:c r="A26" s="6" t="str">
        <x:v>単体テストケース</x:v>
      </x:c>
      <x:c r="B26" s="6" t="str">
        <x:v>単体テストケース</x:v>
      </x:c>
      <x:c r="C26" s="6" t="str">
        <x:v>単体テストケース</x:v>
      </x:c>
      <x:c r="D26" s="6" t="str">
        <x:v>単体テストケース</x:v>
      </x:c>
      <x:c r="E26" s="6" t="str">
        <x:v>単体テストケース</x:v>
      </x:c>
      <x:c r="F26" s="6" t="str">
        <x:v>単体テストケース</x:v>
      </x:c>
      <x:c r="G26" s="6" t="str">
        <x:v>単体テストケース</x:v>
      </x:c>
      <x:c r="H26" s="6" t="str">
        <x:v>単体テストケース</x:v>
      </x:c>
      <x:c r="I26" s="6" t="str">
        <x:v>単体テストケース</x:v>
      </x:c>
      <x:c r="J26" s="6" t="str">
        <x:v>単体テストケース</x:v>
      </x:c>
      <x:c r="K26" s="6" t="str">
        <x:v>単体テストケース</x:v>
      </x:c>
      <x:c r="L26" s="6" t="str">
        <x:v>単体テストケース</x:v>
      </x:c>
      <x:c r="M26" s="6" t="str">
        <x:v>単体テストケース</x:v>
      </x:c>
      <x:c r="N26" s="6" t="str">
        <x:v>単体テストケース</x:v>
      </x:c>
      <x:c r="O26" s="6" t="str">
        <x:v>単体テストケース</x:v>
      </x:c>
      <x:c r="P26" s="6" t="str">
        <x:v>単体テストケース</x:v>
      </x:c>
    </x:row>
    <x:row r="27" ht="28" customHeight="1">
      <x:c r="A27" s="9" t="str">
        <x:v>項番</x:v>
      </x:c>
      <x:c r="B27" s="9" t="str">
        <x:v>分類</x:v>
      </x:c>
      <x:c r="C27" s="9" t="str">
        <x:v>テスト項目</x:v>
      </x:c>
      <x:c r="D27" s="9" t="str">
        <x:v>前提条件</x:v>
      </x:c>
      <x:c r="E27" s="9" t="str">
        <x:v>操作内容(入力値)</x:v>
      </x:c>
      <x:c r="F27" s="9" t="str">
        <x:v>期待結果</x:v>
      </x:c>
      <x:c r="G27" s="9" t="str">
        <x:v>期待メッセージ</x:v>
      </x:c>
      <x:c r="H27" s="9" t="str">
        <x:v>テスト結果</x:v>
      </x:c>
      <x:c r="I27" s="9" t="str">
        <x:v>実施者</x:v>
      </x:c>
      <x:c r="J27" s="9" t="str">
        <x:v>実施日</x:v>
      </x:c>
      <x:c r="K27" s="9" t="str">
        <x:v>不具合内容</x:v>
      </x:c>
      <x:c r="L27" s="9" t="str">
        <x:v>再テスト結果</x:v>
      </x:c>
      <x:c r="M27" s="9" t="str">
        <x:v>再テスト実施者</x:v>
      </x:c>
      <x:c r="N27" s="9" t="str">
        <x:v>再テスト実施日</x:v>
      </x:c>
      <x:c r="O27" s="9" t="str">
        <x:v>最終判定</x:v>
      </x:c>
      <x:c r="P27" s="9" t="str">
        <x:v>備考／根拠</x:v>
      </x:c>
    </x:row>
    <x:row r="28">
      <x:c r="A28" s="3"/>
      <x:c r="B28" s="3"/>
      <x:c r="C28" s="3"/>
      <x:c r="D28" s="3"/>
      <x:c r="E28" s="3"/>
      <x:c r="F28" s="3"/>
      <x:c r="G28" s="3"/>
      <x:c r="H28" s="3"/>
      <x:c r="I28" s="3"/>
      <x:c r="J28" s="3"/>
      <x:c r="K28" s="3"/>
      <x:c r="L28" s="3"/>
      <x:c r="M28" s="3"/>
      <x:c r="N28" s="3"/>
      <x:c r="O28" s="3"/>
      <x:c r="P28" s="3"/>
    </x:row>
    <x:row r="29" ht="92" customHeight="1">
      <x:c r="A29" s="10" t="str">
        <x:v>1001P-1</x:v>
      </x:c>
      <x:c r="B29" s="10" t="str">
        <x:v>出力起点</x:v>
      </x:c>
      <x:c r="C29" s="10" t="str">
        <x:v>見積依頼書：Web画面から帳票を取得する</x:v>
      </x:c>
      <x:c r="D29" s="10" t="str">
        <x:v>【前提条件】
・MCM1002U（機器選定の基本画面）(見積依頼機器選定)を表示できる状態である（到達経路はシート先頭の記載のとおり）。
・取引先見積依頼が1件あり、契約時間帯が1つ、機器構成が1件以上登録されている。</x:v>
      </x:c>
      <x:c r="E29" s="10" t="str">
        <x:v>1. 本章の前提を準備する。
2. 見積依頼機器選定（MCM1002U）の次の画面で「依頼書発行」を実施する。
3. W01に従いダウンロード履歴と取得ファイル名を確認する。
4. 対象ファイルを手動で開く。</x:v>
      </x:c>
      <x:c r="F29" s="10" t="str">
        <x:v>出力対象がある正常条件で、対象帳票を取得でき、Excelで開ける。ダウンロード名：{見積依頼NO}_{取引先コード}_見積依頼書.xls（複数依頼は全対象を取得。現在の先頭1件のみ出力はF01）。拡張子とブック形式が一致し、Excelの形式不一致警告が出ない。Excel自動起動・ネイティブ保存画面は必須ではない。</x:v>
      </x:c>
      <x:c r="G29" s="10" t="str">
        <x:v>－</x:v>
      </x:c>
      <x:c r="H29" s="10"/>
      <x:c r="I29" s="10"/>
      <x:c r="J29" s="13"/>
      <x:c r="K29" s="10"/>
      <x:c r="L29" s="10"/>
      <x:c r="M29" s="10"/>
      <x:c r="N29" s="13"/>
      <x:c r="O29" s="10" t="str">
        <x:f>IF(L29&lt;&gt;"",L29,IF(H29="","未実施",H29))</x:f>
        <x:v>未実施</x:v>
      </x:c>
      <x:c r="P29" s="10" t="str">
        <x:v>Web根拠：Mcm1001pExcelService.java／Mcm1002uController.java。VB比較対象：Mcm1001pExcel.vb・Constant.vbと起動元画面。対応する機能条件は末尾の根拠一覧参照。 旧1001P-3のファイル存在・Excelでの正常表示・破損／形式警告なしもここで確認する。</x:v>
      </x:c>
    </x:row>
    <x:row r="30" ht="106" customHeight="1">
      <x:c r="A30" s="10" t="str">
        <x:v>1001P-2</x:v>
      </x:c>
      <x:c r="B30" s="10" t="str">
        <x:v>出力起点</x:v>
      </x:c>
      <x:c r="C30" s="10" t="str">
        <x:v>Web取得操作：ブラウザの保存をキャンセルする</x:v>
      </x:c>
      <x:c r="D30" s="10" t="str">
        <x:v>【前提条件】
・MCM1002U（機器選定の基本画面）(見積依頼機器選定)を表示できる状態である。
・取引先見積依頼が1件あり、契約時間帯が1つ、機器構成が1件以上登録されている。
・保存先に指定するフォルダに、見積依頼書のファイルがない。</x:v>
      </x:c>
      <x:c r="E30" s="10" t="str">
        <x:v>1. 本章の正常条件で出力する。
2. ブラウザ設定を「保存先を毎回確認」にし、保存をキャンセルする。
3. ダウンロード履歴・保存先・発行元の状態を確認する。</x:v>
      </x:c>
      <x:c r="F30" s="10" t="str">
        <x:v>キャンセルしたファイルが利用者PCに保存されない。Excelの自動起動は要求しない。ブラウザのキャンセルはアプリの発行取消ではなく、先に完了した登録・状態変更を戻さない。再取得の可否は各帳票の再発行条件に従う。</x:v>
      </x:c>
      <x:c r="G30" s="10" t="str">
        <x:v>－</x:v>
      </x:c>
      <x:c r="H30" s="10"/>
      <x:c r="I30" s="10"/>
      <x:c r="J30" s="13"/>
      <x:c r="K30" s="10"/>
      <x:c r="L30" s="10"/>
      <x:c r="M30" s="10"/>
      <x:c r="N30" s="13"/>
      <x:c r="O30" s="10" t="str">
        <x:f>IF(L30&lt;&gt;"",L30,IF(H30="","未実施",H30))</x:f>
        <x:v>未実施</x:v>
      </x:c>
      <x:c r="P30" s="10" t="str">
        <x:v>W02。2001Pは発行処理の確認取消（2001P-40）と区別。3001P／3005Pは同一ZIPの取得取消であり、帳票別の保存ダイアログはない。</x:v>
      </x:c>
    </x:row>
    <x:row r="31" ht="120" customHeight="1">
      <x:c r="A31" s="10" t="str">
        <x:v>1001P-4</x:v>
      </x:c>
      <x:c r="B31" s="10" t="str">
        <x:v>帳票レイアウト</x:v>
      </x:c>
      <x:c r="C31" s="10" t="str">
        <x:v>見積依頼書：テンプレートの見出しが印字されている</x:v>
      </x:c>
      <x:c r="D31" s="10" t="str">
        <x:v>【前提条件】
・MCM1002U（機器選定の基本画面）(見積依頼機器選定)を表示できる状態である。
・取引先見積依頼が1件あり、契約時間帯が1つ、機器構成が1件以上登録されている。</x:v>
      </x:c>
      <x:c r="E31" s="10" t="str">
        <x:v>1. MCM1002U（機器選定の基本画面）で「次へ」ボタンを押下し、MCM1002U（機器選定の次画面）を表示する。
2. 「依頼書発行」ボタンを押下する。
3. 取得したファイルを手動で開いたExcelの最初のシートで、3行目から7行目の見出しを確認する。
4. 共通手順W01に従い対象ファイルを取得し、Excelで開いて本ケースの期待結果を確認する。異常系はファイルが取得されないことを確認する。</x:v>
      </x:c>
      <x:c r="F31" s="10" t="str">
        <x:v>シート上に次の見出しが印字されている。
1. 3行目：「納入先名」「回答希望日」「依頼日」
2. 4行目：「納入先住所」「時間帯」「保守方法」
3. 5行目：「保守点検」「点検可能日」「夜間点検」
4. 7行目：「製造メーカー」「品名」「型式」「数量」「手配製番」「備考」</x:v>
      </x:c>
      <x:c r="G31" s="10" t="str">
        <x:v>－</x:v>
      </x:c>
      <x:c r="H31" s="10"/>
      <x:c r="I31" s="10"/>
      <x:c r="J31" s="13"/>
      <x:c r="K31" s="10"/>
      <x:c r="L31" s="10"/>
      <x:c r="M31" s="10"/>
      <x:c r="N31" s="13"/>
      <x:c r="O31" s="10" t="str">
        <x:f>IF(L31&lt;&gt;"",L31,IF(H31="","未実施",H31))</x:f>
        <x:v>未実施</x:v>
      </x:c>
      <x:c r="P31" s="10" t="str">
        <x:v>Web根拠：Mcm1001pExcelService.java／Mcm1002uController.java。VB比較対象：Mcm1001pExcel.vb・Constant.vbと起動元画面。対応する機能条件は末尾の根拠一覧参照。</x:v>
      </x:c>
    </x:row>
    <x:row r="32" ht="162" customHeight="1">
      <x:c r="A32" s="10" t="str">
        <x:v>1001P-5</x:v>
      </x:c>
      <x:c r="B32" s="10" t="str">
        <x:v>ヘッダー</x:v>
      </x:c>
      <x:c r="C32" s="10" t="str">
        <x:v>見積依頼書：取引先名と見積依頼Noが出力される</x:v>
      </x:c>
      <x:c r="D32" s="10" t="str">
        <x:v>【前提条件】
・MCM1002U（機器選定の基本画面）(見積依頼機器選定)を表示できる状態である。
・取引先見積依頼が1件あり、契約時間帯が1つ、機器構成が1件以上登録されている。</x:v>
      </x:c>
      <x:c r="E32" s="10" t="str">
        <x:v>1. MCM1002U（機器選定の基本画面）で「次へ」ボタンを押下し、MCM1002U（機器選定の次画面）を表示する。
2. 「見積情報」一覧の「取引先」と「見積依頼NO」の値を控える。
3. 　【控え】取引先＝（　　　）、見積依頼NO＝（　　　）
4. 「依頼書発行」ボタンを押下する。
5. 取得したファイルを手動で開いたExcelの最初のシートで、1行目の左端と2行目の右上を確認する。
6. 共通手順W01に従い対象ファイルを取得し、Excelで開いて本ケースの期待結果を確認する。異常系はファイルが取得されないことを確認する。</x:v>
      </x:c>
      <x:c r="F32" s="10" t="str">
        <x:v>1. 1行目の左端（A1）に、控えた取引先と同じ値が表示される。
2. 2行目の右上（AV2）に、控えた見積依頼NOと同じ値が表示される。</x:v>
      </x:c>
      <x:c r="G32" s="10" t="str">
        <x:v>－</x:v>
      </x:c>
      <x:c r="H32" s="10"/>
      <x:c r="I32" s="10"/>
      <x:c r="J32" s="13"/>
      <x:c r="K32" s="10"/>
      <x:c r="L32" s="10"/>
      <x:c r="M32" s="10"/>
      <x:c r="N32" s="13"/>
      <x:c r="O32" s="10" t="str">
        <x:f>IF(L32&lt;&gt;"",L32,IF(H32="","未実施",H32))</x:f>
        <x:v>未実施</x:v>
      </x:c>
      <x:c r="P32" s="10" t="str">
        <x:v>Web根拠：Mcm1001pExcelService.java／Mcm1002uController.java。VB比較対象：Mcm1001pExcel.vb・Constant.vbと起動元画面。対応する機能条件は末尾の根拠一覧参照。</x:v>
      </x:c>
    </x:row>
    <x:row r="33" ht="232" customHeight="1">
      <x:c r="A33" s="10" t="str">
        <x:v>1001P-6</x:v>
      </x:c>
      <x:c r="B33" s="10" t="str">
        <x:v>ヘッダー</x:v>
      </x:c>
      <x:c r="C33" s="10" t="str">
        <x:v>見積依頼書：納入先名と納入先住所が出力される</x:v>
      </x:c>
      <x:c r="D33" s="10" t="str">
        <x:v>【前提条件】
・MCM1002U（機器選定の基本画面）(見積依頼機器選定)を表示できる状態である。
・取引先見積依頼が1件あり、契約時間帯が1つ、機器構成が1件以上登録されている。
・納入先住所1、納入先住所2がどちらも入力済みである。</x:v>
      </x:c>
      <x:c r="E33" s="10" t="str">
        <x:v>1. MCM1002U（機器選定の基本画面）で「次へ」ボタンを押下し、MCM1002U（機器選定の次画面）を表示する。
2. MCM1002U（機器選定の次画面） 上部の「納入先名」の値を控える。
3. 　【控え】納入先名＝（　　　）
4. 納入先住所1、納入先住所2は、納入先マスタ（MCM0011U）で確認した値を控える【要確認：確認方法】。
5. 　【控え】納入先住所1＝（　　　）、納入先住所2＝（　　　）
6. MCM1002U（機器選定の次画面） で「依頼書発行」ボタンを押下する。
7. 取得したファイルを手動で開いたExcelの最初のシートで、3行目から5行目を確認する。
8. 共通手順W01に従い対象ファイルを取得し、Excelで開いて本ケースの期待結果を確認する。異常系はファイルが取得されないことを確認する。</x:v>
      </x:c>
      <x:c r="F33" s="10" t="str">
        <x:v>1. 「納入先名」の右の欄に、控えた納入先名と同じ値が表示される。
2. 「納入先住所」の右の欄に、控えた納入先住所1と同じ値が表示される。
3. その下の行に、控えた納入先住所2と同じ値が表示される。</x:v>
      </x:c>
      <x:c r="G33" s="10" t="str">
        <x:v>－</x:v>
      </x:c>
      <x:c r="H33" s="10"/>
      <x:c r="I33" s="10"/>
      <x:c r="J33" s="13"/>
      <x:c r="K33" s="10"/>
      <x:c r="L33" s="10"/>
      <x:c r="M33" s="10"/>
      <x:c r="N33" s="13"/>
      <x:c r="O33" s="10" t="str">
        <x:f>IF(L33&lt;&gt;"",L33,IF(H33="","未実施",H33))</x:f>
        <x:v>未実施</x:v>
      </x:c>
      <x:c r="P33" s="10" t="str">
        <x:v>Web根拠：Mcm1001pExcelService.java／Mcm1002uController.java。VB比較対象：Mcm1001pExcel.vb・Constant.vbと起動元画面。対応する機能条件は末尾の根拠一覧参照。</x:v>
      </x:c>
    </x:row>
    <x:row r="34" ht="176" customHeight="1">
      <x:c r="A34" s="10" t="str">
        <x:v>1001P-7</x:v>
      </x:c>
      <x:c r="B34" s="10" t="str">
        <x:v>ヘッダー</x:v>
      </x:c>
      <x:c r="C34" s="10" t="str">
        <x:v>見積依頼書：回答希望日と依頼日が出力される</x:v>
      </x:c>
      <x:c r="D34" s="10" t="str">
        <x:v>【前提条件】
・MCM1002U（機器選定の基本画面）(見積依頼機器選定)を表示できる状態である。
・取引先見積依頼が1件あり、契約時間帯が1つ、機器構成が1件以上登録されている。
・回答希望日、依頼日が設定済みである。</x:v>
      </x:c>
      <x:c r="E34" s="10" t="str">
        <x:v>1. MCM1002U（機器選定の基本画面）で「次へ」ボタンを押下し、MCM1002U（機器選定の次画面）を表示する。
2. 「見積情報」一覧の「回答希望日」の値を控える。依頼日は、取引先見積・契約一覧（MCM1003U）で対象の見積依頼NOを検索し、一覧の「依頼日」列の値を控える。
3. 　【控え】回答希望日＝（　　　）、依頼日＝（　　　）
4. 「依頼書発行」ボタンを押下する。
5. 取得したファイルを手動で開いたExcelの最初のシートで、3行目を確認する。
6. 共通手順W01に従い対象ファイルを取得し、Excelで開いて本ケースの期待結果を確認する。異常系はファイルが取得されないことを確認する。</x:v>
      </x:c>
      <x:c r="F34" s="10" t="str">
        <x:v>1. 「回答希望日」の右の欄に、控えた回答希望日と同じ日付が表示される。
2. 「依頼日」の右の欄に、控えた依頼日と同じ日付が表示される。
3. 日付が「yyyy/MM/dd」の形式（例：2026/10/06）で表示される。</x:v>
      </x:c>
      <x:c r="G34" s="10" t="str">
        <x:v>－</x:v>
      </x:c>
      <x:c r="H34" s="10"/>
      <x:c r="I34" s="10"/>
      <x:c r="J34" s="13"/>
      <x:c r="K34" s="10"/>
      <x:c r="L34" s="10"/>
      <x:c r="M34" s="10"/>
      <x:c r="N34" s="13"/>
      <x:c r="O34" s="10" t="str">
        <x:f>IF(L34&lt;&gt;"",L34,IF(H34="","未実施",H34))</x:f>
        <x:v>未実施</x:v>
      </x:c>
      <x:c r="P34" s="10" t="str">
        <x:v>Web根拠：Mcm1001pExcelService.java／Mcm1002uController.java。VB比較対象：Mcm1001pExcel.vb・Constant.vbと起動元画面。対応する機能条件は末尾の根拠一覧参照。</x:v>
      </x:c>
    </x:row>
    <x:row r="35" ht="190" customHeight="1">
      <x:c r="A35" s="10" t="str">
        <x:v>1001P-8</x:v>
      </x:c>
      <x:c r="B35" s="10" t="str">
        <x:v>ヘッダー</x:v>
      </x:c>
      <x:c r="C35" s="10" t="str">
        <x:v>見積依頼書：時間帯・保守方法・保守点検・点検可能日・夜間点検が名称で出力される</x:v>
      </x:c>
      <x:c r="D35" s="10" t="str">
        <x:v>【前提条件】
・MCM1002U（機器選定の基本画面）(見積依頼機器選定)を表示できる状態である。
・取引先見積依頼が1件あり、契約時間帯が1つ、機器構成が1件以上登録されている。
・保守方法、保守点検、点検可能日、夜間点検がすべて設定済みである。</x:v>
      </x:c>
      <x:c r="E35" s="10" t="str">
        <x:v>1. MCM1002U（機器選定の基本画面）で「次へ」ボタンを押下し、MCM1002U（機器選定の次画面）を表示する。
2. 「見積情報」一覧で、次の値を控える。
3. 　【控え】時間帯＝（チェックが入っている列の見出し。例：24H）、保守方法＝（　　　）、保守点検＝（「点検有」列のチェック有無）、点検可能日＝（「点検可能曜日」列の選択値）、夜間点検＝（「点検夜間対応有」列のチェック有無）
4. 「依頼書発行」ボタンを押下する。
5. 取得したファイルを手動で開いたExcelの最初のシートで、4行目と5行目を確認する。
6. 共通手順W01に従い対象ファイルを取得し、Excelで開いて本ケースの期待結果を確認する。異常系はファイルが取得されないことを確認する。</x:v>
      </x:c>
      <x:c r="F35" s="10" t="str">
        <x:v>1. 「時間帯」の右の欄に、控えた時間帯と同じ値（例：24H）が表示される。
2. 「保守方法」の右の欄に、画面で選択している保守方法に対応する名称が表示される（「ｵﾝｻｲﾄ」「ｾﾝﾄﾞﾊﾞｯｸ」「ｺﾝﾃｯｸ製品」「持ち帰り」「ｽﾎﾟｯﾄ」「TEL対応」のいずれか。英字のコードは表示されない）。
3. 「保守点検」の右の欄に、「点検有」にチェックがある場合は「点検あり」が表示される。
4. 「点検可能日」の右の欄に、画面で選択している点検可能曜日に対応する名称（「月～金」「月～土」「月～日」「土・日」のいずれか）が表示される。
5. 「夜間点検」の右の欄に、「点検夜間対応有」にチェックがある場合は「夜間対応あり」が表示される。</x:v>
      </x:c>
      <x:c r="G35" s="10" t="str">
        <x:v>－</x:v>
      </x:c>
      <x:c r="H35" s="10"/>
      <x:c r="I35" s="10"/>
      <x:c r="J35" s="13"/>
      <x:c r="K35" s="10"/>
      <x:c r="L35" s="10"/>
      <x:c r="M35" s="10"/>
      <x:c r="N35" s="13"/>
      <x:c r="O35" s="10" t="str">
        <x:f>IF(L35&lt;&gt;"",L35,IF(H35="","未実施",H35))</x:f>
        <x:v>未実施</x:v>
      </x:c>
      <x:c r="P35" s="10" t="str">
        <x:v>Web根拠：Mcm1001pExcelService.java／Mcm1002uController.java。VB比較対象：Mcm1001pExcel.vb・Constant.vbと起動元画面。対応する機能条件は末尾の根拠一覧参照。</x:v>
      </x:c>
    </x:row>
    <x:row r="36" ht="120" customHeight="1">
      <x:c r="A36" s="10" t="str">
        <x:v>1001P-9</x:v>
      </x:c>
      <x:c r="B36" s="10" t="str">
        <x:v>ヘッダー</x:v>
      </x:c>
      <x:c r="C36" s="10" t="str">
        <x:v>見積依頼書：任意項目が未設定の場合は欄が空欄で出力される</x:v>
      </x:c>
      <x:c r="D36" s="10" t="str">
        <x:v>【前提条件】
・MCM1002U（機器選定の基本画面）(見積依頼機器選定)を表示できる状態である。
・取引先見積依頼が1件あり、契約時間帯が1つ、機器構成が1件以上登録されている。
・納入先住所2、点検可能曜日が未設定（空）である。
・保守方法、回答希望日、依頼日は設定済みである。</x:v>
      </x:c>
      <x:c r="E36" s="10" t="str">
        <x:v>1. MCM1002U（機器選定の基本画面）で「次へ」ボタンを押下し、MCM1002U（機器選定の次画面）を表示する。
2. 「依頼書発行」ボタンを押下する。
3. 取得したファイルを手動で開いたExcelの最初のシートで、3行目から5行目を確認する。
4. 共通手順W01に従い対象ファイルを取得し、Excelで開いて本ケースの期待結果を確認する。異常系はファイルが取得されないことを確認する。</x:v>
      </x:c>
      <x:c r="F36" s="10" t="str">
        <x:v>1. 住所2行目の欄と、「点検可能日」の右の欄が空欄である（「0」や「null」などの文字が入っていない）。
2. 取引先名、見積依頼No、納入先名、納入先住所1、回答希望日、依頼日、時間帯、保守方法の欄には値が表示される。</x:v>
      </x:c>
      <x:c r="G36" s="10" t="str">
        <x:v>－</x:v>
      </x:c>
      <x:c r="H36" s="10"/>
      <x:c r="I36" s="10"/>
      <x:c r="J36" s="13"/>
      <x:c r="K36" s="10"/>
      <x:c r="L36" s="10"/>
      <x:c r="M36" s="10"/>
      <x:c r="N36" s="13"/>
      <x:c r="O36" s="10" t="str">
        <x:f>IF(L36&lt;&gt;"",L36,IF(H36="","未実施",H36))</x:f>
        <x:v>未実施</x:v>
      </x:c>
      <x:c r="P36" s="10" t="str">
        <x:v>Web根拠：Mcm1001pExcelService.java／Mcm1002uController.java。VB比較対象：Mcm1001pExcel.vb・Constant.vbと起動元画面。対応する機能条件は末尾の根拠一覧参照。</x:v>
      </x:c>
    </x:row>
    <x:row r="37" ht="176" customHeight="1">
      <x:c r="A37" s="10" t="str">
        <x:v>1001P-10</x:v>
      </x:c>
      <x:c r="B37" s="10" t="str">
        <x:v>明細</x:v>
      </x:c>
      <x:c r="C37" s="10" t="str">
        <x:v>見積依頼書：機器構成が1件の場合、明細が1行出力される（下限）</x:v>
      </x:c>
      <x:c r="D37" s="10" t="str">
        <x:v>【前提条件】
・MCM1002U（機器選定の基本画面）(見積依頼機器選定)を表示できる状態である。
・取引先見積依頼が1件あり、契約時間帯が1つ。機器構成が1件だけ登録されている。</x:v>
      </x:c>
      <x:c r="E37" s="10" t="str">
        <x:v>1. MCM1002U（機器選定の基本画面）で「次へ」ボタンを押下し、MCM1002U（機器選定の次画面）を表示する。
2. 「機器構成パターン」一覧の手配製番、「機器構成明細」一覧の製造メーカー名、品名、型式、数量を控える。
3. 　【控え】製造メーカー＝（　　　）、品名＝（　　　）、型式＝（　　　）、数量＝（　　　）、手配製番＝（　　　）
4. 「依頼書発行」ボタンを押下する。
5. 取得したファイルを手動で開いたExcelの最初のシートで、7行目の見出しから下を確認する。
6. 共通手順W01に従い対象ファイルを取得し、Excelで開いて本ケースの期待結果を確認する。異常系はファイルが取得されないことを確認する。</x:v>
      </x:c>
      <x:c r="F37" s="10" t="str">
        <x:v>1. 7行目の見出しの直下の8行目に、1行だけ明細が表示される。9行目以降に明細がない。
2. 「製造メーカー」の下に控えた製造メーカー、「品名」の下に控えた品名、「型式」の下に控えた型式、「数量」の下に控えた数量、「手配製番」の下に控えた手配製番が表示される。</x:v>
      </x:c>
      <x:c r="G37" s="10" t="str">
        <x:v>－</x:v>
      </x:c>
      <x:c r="H37" s="10"/>
      <x:c r="I37" s="10"/>
      <x:c r="J37" s="13"/>
      <x:c r="K37" s="10"/>
      <x:c r="L37" s="10"/>
      <x:c r="M37" s="10"/>
      <x:c r="N37" s="13"/>
      <x:c r="O37" s="10" t="str">
        <x:f>IF(L37&lt;&gt;"",L37,IF(H37="","未実施",H37))</x:f>
        <x:v>未実施</x:v>
      </x:c>
      <x:c r="P37" s="10" t="str">
        <x:v>Web根拠：Mcm1001pExcelService.java／Mcm1002uController.java。VB比較対象：Mcm1001pExcel.vb・Constant.vbと起動元画面。対応する機能条件は末尾の根拠一覧参照。</x:v>
      </x:c>
    </x:row>
    <x:row r="38" ht="176" customHeight="1">
      <x:c r="A38" s="10" t="str">
        <x:v>1001P-11</x:v>
      </x:c>
      <x:c r="B38" s="10" t="str">
        <x:v>明細</x:v>
      </x:c>
      <x:c r="C38" s="10" t="str">
        <x:v>見積依頼書：機器構成が複数件の場合、件数分の行が出力される</x:v>
      </x:c>
      <x:c r="D38" s="10" t="str">
        <x:v>【前提条件】
・MCM1002U（機器選定の基本画面）(見積依頼機器選定)を表示できる状態である。
・取引先見積依頼が1件あり、契約時間帯が1つ。機器構成が3件以上登録されている（製造メーカー、品名、型式、数量、手配製番が互いに異なる）。</x:v>
      </x:c>
      <x:c r="E38" s="10" t="str">
        <x:v>1. MCM1002U（機器選定の基本画面）で「次へ」ボタンを押下し、MCM1002U（機器選定の次画面）を表示する。
2. 「機器構成パターン」一覧を1行ずつ選択し、そのたびに「機器構成明細」一覧の製造メーカー名、品名、型式、数量と、選択行の手配製番を控える（画面には選択中のパターンの明細しか表示されないため、全パターン分を控える）。
3. 「依頼書発行」ボタンを押下する。
4. 取得したファイルを手動で開いたExcelの最初のシートで、8行目から下を確認する。
5. 共通手順W01に従い対象ファイルを取得し、Excelで開いて本ケースの期待結果を確認する。異常系はファイルが取得されないことを確認する。</x:v>
      </x:c>
      <x:c r="F38" s="10" t="str">
        <x:v>1. 8行目から、登録した機器構成の件数と同じ行数の明細が、途中で空行を挟まず連続して表示される。
2. 各行の「製造メーカー」「品名」「型式」「数量」「手配製番」の下の値が、控えた機器構成の値と一致する。
3. 控えた機器構成の数より多い行、少ない行がない。</x:v>
      </x:c>
      <x:c r="G38" s="10" t="str">
        <x:v>－</x:v>
      </x:c>
      <x:c r="H38" s="10"/>
      <x:c r="I38" s="10"/>
      <x:c r="J38" s="13"/>
      <x:c r="K38" s="10"/>
      <x:c r="L38" s="10"/>
      <x:c r="M38" s="10"/>
      <x:c r="N38" s="13"/>
      <x:c r="O38" s="10" t="str">
        <x:f>IF(L38&lt;&gt;"",L38,IF(H38="","未実施",H38))</x:f>
        <x:v>未実施</x:v>
      </x:c>
      <x:c r="P38" s="10" t="str">
        <x:v>Web根拠：Mcm1001pExcelService.java／Mcm1002uController.java。VB比較対象：Mcm1001pExcel.vb・Constant.vbと起動元画面。対応する機能条件は末尾の根拠一覧参照。</x:v>
      </x:c>
    </x:row>
    <x:row r="39" ht="148" customHeight="1">
      <x:c r="A39" s="10" t="str">
        <x:v>1001P-12</x:v>
      </x:c>
      <x:c r="B39" s="10" t="str">
        <x:v>明細</x:v>
      </x:c>
      <x:c r="C39" s="10" t="str">
        <x:v>見積依頼書：明細が機器の表示順で並ぶ</x:v>
      </x:c>
      <x:c r="D39" s="10" t="str">
        <x:v>【前提条件】
・MCM1002U（機器選定の基本画面）(見積依頼機器選定)を表示できる状態である。
・機器構成が3件以上登録されている。機器明細マスタの表示順が、機器構成の登録順と異なる組合せの機器を含む【要確認：該当データの作り方】。</x:v>
      </x:c>
      <x:c r="E39" s="10" t="str">
        <x:v>1. MCM1002U（機器選定の基本画面）で「次へ」ボタンを押下し、MCM1002U（機器選定の次画面）を表示する。
2. 機器明細マスタで、各機器の「表示順」を確認して控える【要確認：参照方法】。
3. 「依頼書発行」ボタンを押下する。
4. 取得したファイルを手動で開いたExcelの最初のシートで、8行目から下の並びを確認する。
5. 共通手順W01に従い対象ファイルを取得し、Excelで開いて本ケースの期待結果を確認する。異常系はファイルが取得されないことを確認する。</x:v>
      </x:c>
      <x:c r="F39" s="10" t="str">
        <x:v>1. 明細の並びが、機器明細マスタの「表示順」の小さい順になっている。</x:v>
      </x:c>
      <x:c r="G39" s="10" t="str">
        <x:v>－</x:v>
      </x:c>
      <x:c r="H39" s="10"/>
      <x:c r="I39" s="10"/>
      <x:c r="J39" s="13"/>
      <x:c r="K39" s="10"/>
      <x:c r="L39" s="10"/>
      <x:c r="M39" s="10"/>
      <x:c r="N39" s="13"/>
      <x:c r="O39" s="10" t="str">
        <x:f>IF(L39&lt;&gt;"",L39,IF(H39="","未実施",H39))</x:f>
        <x:v>未実施</x:v>
      </x:c>
      <x:c r="P39" s="10" t="str">
        <x:v>Web根拠：Mcm1001pExcelService.java／Mcm1002uController.java。VB比較対象：Mcm1001pExcel.vb・Constant.vbと起動元画面。対応する機能条件は末尾の根拠一覧参照。</x:v>
      </x:c>
    </x:row>
    <x:row r="40" ht="120" customHeight="1">
      <x:c r="A40" s="10" t="str">
        <x:v>1001P-13</x:v>
      </x:c>
      <x:c r="B40" s="10" t="str">
        <x:v>明細</x:v>
      </x:c>
      <x:c r="C40" s="10" t="str">
        <x:v>見積依頼書：明細の未設定項目が空欄で出力される</x:v>
      </x:c>
      <x:c r="D40" s="10" t="str">
        <x:v>【前提条件】
・MCM1002U（機器選定の基本画面）(見積依頼機器選定)を表示できる状態である。
・機器構成が2件。1件目は型式と手配製番が未設定、2件目はすべて設定済みである。</x:v>
      </x:c>
      <x:c r="E40" s="10" t="str">
        <x:v>1. MCM1002U（機器選定の基本画面）で「次へ」ボタンを押下し、MCM1002U（機器選定の次画面）を表示する。
2. 「依頼書発行」ボタンを押下する。
3. 取得したファイルを手動で開いたExcelの最初のシートで、8行目と9行目を確認する。
4. 共通手順W01に従い対象ファイルを取得し、Excelで開いて本ケースの期待結果を確認する。異常系はファイルが取得されないことを確認する。</x:v>
      </x:c>
      <x:c r="F40" s="10" t="str">
        <x:v>1. 1件目の行の「型式」と「手配製番」の下が空欄である（「0」や「null」の文字がない）。
2. 1件目の行の「製造メーカー」「品名」「数量」の下には値が表示される。
3. 2件目の行は、すべての列に値が表示される。</x:v>
      </x:c>
      <x:c r="G40" s="10" t="str">
        <x:v>－</x:v>
      </x:c>
      <x:c r="H40" s="10"/>
      <x:c r="I40" s="10"/>
      <x:c r="J40" s="13"/>
      <x:c r="K40" s="10"/>
      <x:c r="L40" s="10"/>
      <x:c r="M40" s="10"/>
      <x:c r="N40" s="13"/>
      <x:c r="O40" s="10" t="str">
        <x:f>IF(L40&lt;&gt;"",L40,IF(H40="","未実施",H40))</x:f>
        <x:v>未実施</x:v>
      </x:c>
      <x:c r="P40" s="10" t="str">
        <x:v>Web根拠：Mcm1001pExcelService.java／Mcm1002uController.java。VB比較対象：Mcm1001pExcel.vb・Constant.vbと起動元画面。対応する機能条件は末尾の根拠一覧参照。</x:v>
      </x:c>
    </x:row>
    <x:row r="41" ht="120" customHeight="1">
      <x:c r="A41" s="10" t="str">
        <x:v>1001P-14</x:v>
      </x:c>
      <x:c r="B41" s="10" t="str">
        <x:v>明細</x:v>
      </x:c>
      <x:c r="C41" s="10" t="str">
        <x:v>見積依頼書：「備考」欄は空欄で出力される</x:v>
      </x:c>
      <x:c r="D41" s="10" t="str">
        <x:v>【前提条件】
・MCM1002U（機器選定の基本画面）(見積依頼機器選定)を表示できる状態である。
・機器構成が3件以上登録されている。</x:v>
      </x:c>
      <x:c r="E41" s="10" t="str">
        <x:v>1. MCM1002U（機器選定の基本画面）で「次へ」ボタンを押下し、MCM1002U（機器選定の次画面）を表示する。
2. 「依頼書発行」ボタンを押下する。
3. 取得したファイルを手動で開いたExcelの最初のシートで、明細各行の「備考」の下を確認する。
4. 共通手順W01に従い対象ファイルを取得し、Excelで開いて本ケースの期待結果を確認する。異常系はファイルが取得されないことを確認する。</x:v>
      </x:c>
      <x:c r="F41" s="10" t="str">
        <x:v>1. 明細各行の「備考」の下が、すべて空欄である。</x:v>
      </x:c>
      <x:c r="G41" s="10" t="str">
        <x:v>－</x:v>
      </x:c>
      <x:c r="H41" s="10"/>
      <x:c r="I41" s="10"/>
      <x:c r="J41" s="13"/>
      <x:c r="K41" s="10"/>
      <x:c r="L41" s="10"/>
      <x:c r="M41" s="10"/>
      <x:c r="N41" s="13"/>
      <x:c r="O41" s="10" t="str">
        <x:f>IF(L41&lt;&gt;"",L41,IF(H41="","未実施",H41))</x:f>
        <x:v>未実施</x:v>
      </x:c>
      <x:c r="P41" s="10" t="str">
        <x:v>Web根拠：Mcm1001pExcelService.java／Mcm1002uController.java。VB比較対象：Mcm1001pExcel.vb・Constant.vbと起動元画面。対応する機能条件は末尾の根拠一覧参照。</x:v>
      </x:c>
    </x:row>
    <x:row r="42" ht="134" customHeight="1">
      <x:c r="A42" s="10" t="str">
        <x:v>1001P-15</x:v>
      </x:c>
      <x:c r="B42" s="10" t="str">
        <x:v>明細</x:v>
      </x:c>
      <x:c r="C42" s="10" t="str">
        <x:v>見積依頼書：機器構成が多数の場合も全件出力される</x:v>
      </x:c>
      <x:c r="D42" s="10" t="str">
        <x:v>【前提条件】
・MCM1002U（機器選定の基本画面）(見積依頼機器選定)を表示できる状態である。
・契約時間帯が1つ。機器構成が30件（目安）登録されている。</x:v>
      </x:c>
      <x:c r="E42" s="10" t="str">
        <x:v>1. MCM1002U（機器選定の基本画面）で「次へ」ボタンを押下し、MCM1002U（機器選定の次画面）を表示する。
2. 「機器構成パターン」の件数を控える。
3. 「依頼書発行」ボタンを押下する。
4. 取得したファイルを手動で開いたExcelの最初のシートで、明細の行数を確認し、印刷プレビューを表示する。
5. 共通手順W01に従い対象ファイルを取得し、Excelで開いて本ケースの期待結果を確認する。異常系はファイルが取得されないことを確認する。</x:v>
      </x:c>
      <x:c r="F42" s="10" t="str">
        <x:v>1. 登録した機器構成の件数と同じ行数の明細が表示され、欠落がない。</x:v>
      </x:c>
      <x:c r="G42" s="10" t="str">
        <x:v>－</x:v>
      </x:c>
      <x:c r="H42" s="10"/>
      <x:c r="I42" s="10"/>
      <x:c r="J42" s="13"/>
      <x:c r="K42" s="10"/>
      <x:c r="L42" s="10"/>
      <x:c r="M42" s="10"/>
      <x:c r="N42" s="13"/>
      <x:c r="O42" s="10" t="str">
        <x:f>IF(L42&lt;&gt;"",L42,IF(H42="","未実施",H42))</x:f>
        <x:v>未実施</x:v>
      </x:c>
      <x:c r="P42" s="10" t="str">
        <x:v>Web根拠：Mcm1001pExcelService.java／Mcm1002uController.java。VB比較対象：Mcm1001pExcel.vb・Constant.vbと起動元画面。対応する機能条件は末尾の根拠一覧参照。原案に推定・実機記録項目あり。判断基準は下記訂正またはQ一覧で管理。</x:v>
      </x:c>
    </x:row>
    <x:row r="43" ht="162" customHeight="1">
      <x:c r="A43" s="10" t="str">
        <x:v>1001P-16</x:v>
      </x:c>
      <x:c r="B43" s="10" t="str">
        <x:v>シート</x:v>
      </x:c>
      <x:c r="C43" s="10" t="str">
        <x:v>契約時間帯ごとのシート数・名前とヘッダー</x:v>
      </x:c>
      <x:c r="D43" s="10" t="str">
        <x:v>【前提条件】
・MCM1002U（機器選定の基本画面）(見積依頼機器選定)を表示できる状態である。
・同じ見積依頼に契約時間帯が2つ（「見積情報」一覧の8Hと24Hの両方にチェック）ある。機器構成が1件以上登録されている。</x:v>
      </x:c>
      <x:c r="E43" s="10" t="str">
        <x:v>1. MCM1002U（機器選定の基本画面）で「次へ」ボタンを押下し、MCM1002U（機器選定の次画面）を表示する。
2. 「見積情報」一覧で、チェックが入っている契約時間帯（8H／24H）を控える。また「機器構成パターン」一覧を1行ずつ選択し、「機器構成明細」一覧の品名を全て控える。
3. 「依頼書発行」ボタンを押下する。
4. 取得したファイルを手動で開いたExcelで、シートの数とシート名、各シートの「時間帯」の右の欄と明細を確認する。
5. 共通手順W01に従い対象ファイルを取得し、Excelで開いて本ケースの期待結果を確認する。異常系はファイルが取得されないことを確認する。</x:v>
      </x:c>
      <x:c r="F43" s="10" t="str">
        <x:v>選択した契約時間帯の数だけシートがあり、シート名と時間帯ヘッダーが対応する。明細の所属・他時間帯混入は1001P-25で確認し、ここでは重ねて判定しない。</x:v>
      </x:c>
      <x:c r="G43" s="10" t="str">
        <x:v>－</x:v>
      </x:c>
      <x:c r="H43" s="10"/>
      <x:c r="I43" s="10"/>
      <x:c r="J43" s="13"/>
      <x:c r="K43" s="10"/>
      <x:c r="L43" s="10"/>
      <x:c r="M43" s="10"/>
      <x:c r="N43" s="13"/>
      <x:c r="O43" s="10" t="str">
        <x:f>IF(L43&lt;&gt;"",L43,IF(H43="","未実施",H43))</x:f>
        <x:v>未実施</x:v>
      </x:c>
      <x:c r="P43" s="10" t="str">
        <x:v>シート構成のみを検証。明細分離は1001P-25。VBのGetData(tmKeiyakujikanId)を根拠に原案の全時間帯同一明細という記載を訂正。</x:v>
      </x:c>
    </x:row>
    <x:row r="44" ht="92" customHeight="1">
      <x:c r="A44" s="10" t="str">
        <x:v>1001P-17</x:v>
      </x:c>
      <x:c r="B44" s="10" t="str">
        <x:v>ファイル</x:v>
      </x:c>
      <x:c r="C44" s="10" t="str">
        <x:v>見積依頼書：見積（見積依頼No）が複数ある場合、見積ごとにファイルが分かれる</x:v>
      </x:c>
      <x:c r="D44" s="10" t="str">
        <x:v>【前提条件】
・MCM1002U（機器選定の基本画面）(見積依頼機器選定)を表示できる状態である。
・MCM1002U（機器選定の次画面） に、見積依頼NOの異なる見積が2件表示される【要確認：そのような画面状態を作れるか】。</x:v>
      </x:c>
      <x:c r="E44" s="10" t="str">
        <x:v>1. 同じ取引先で依頼NOが異なる2対象を準備し控える。
2. 依頼書発行を行う。
3. 全取得ファイルの依頼NO・取引先・明細を照合する。</x:v>
      </x:c>
      <x:c r="F44" s="10" t="str">
        <x:v>同じ取引先に異なる見積依頼NOが2件あるとき、両方の依頼書を取得できる。各ファイル名・ヘッダー・明細が該当依頼NOに対応し、片方だけの出力や誤結合がない。</x:v>
      </x:c>
      <x:c r="G44" s="10" t="str">
        <x:v>－</x:v>
      </x:c>
      <x:c r="H44" s="10"/>
      <x:c r="I44" s="10"/>
      <x:c r="J44" s="13"/>
      <x:c r="K44" s="10"/>
      <x:c r="L44" s="10"/>
      <x:c r="M44" s="10"/>
      <x:c r="N44" s="13"/>
      <x:c r="O44" s="10" t="str">
        <x:f>IF(L44&lt;&gt;"",L44,IF(H44="","未実施",H44))</x:f>
        <x:v>未実施</x:v>
      </x:c>
      <x:c r="P44" s="10" t="str">
        <x:v>F01／Q02。追加1001P-26は異なる取引先のグループ分離を確認する。</x:v>
      </x:c>
    </x:row>
    <x:row r="45" ht="106" customHeight="1">
      <x:c r="A45" s="10" t="str">
        <x:v>1001P-18</x:v>
      </x:c>
      <x:c r="B45" s="10" t="str">
        <x:v>明細</x:v>
      </x:c>
      <x:c r="C45" s="10" t="str">
        <x:v>見積依頼書：機器構成が0件の場合の出力</x:v>
      </x:c>
      <x:c r="D45" s="10" t="str">
        <x:v>【前提条件】
・MCM1002U（機器選定の基本画面）(見積依頼機器選定)を表示できる状態である。
・機器構成が0件の契約時間帯を含む見積依頼がある【要確認：画面操作でその状態を作れるか】。</x:v>
      </x:c>
      <x:c r="E45" s="10" t="str">
        <x:v>1. MCM1002U（機器選定の基本画面）で「次へ」ボタンを押下し、MCM1002U（機器選定の次画面）を表示する。
2. 「依頼書発行」ボタンを押下する。
3. ファイルの作成有無とメッセージの表示有無を確認する。
4. 共通手順W01に従い対象ファイルを取得し、Excelで開いて本ケースの期待結果を確認する。異常系はファイルが取得されないことを確認する。</x:v>
      </x:c>
      <x:c r="F45" s="10" t="str">
        <x:v>明細がない対象だけで正常な依頼書を発行したと扱わない。全対象0件は取得できる帳票なしと通知し、破損ファイルを返さない。有効対象と0件対象が混在する場合の除外・一括中止はQ02で確定する。</x:v>
      </x:c>
      <x:c r="G45" s="10" t="str">
        <x:v>Web画面の通知を確認する。入力不備・対象なし等、本ケースの条件を通知する。（VBのダイアログタイトル・アイコン・メッセージIDは合否対象外）</x:v>
      </x:c>
      <x:c r="H45" s="10"/>
      <x:c r="I45" s="10"/>
      <x:c r="J45" s="13"/>
      <x:c r="K45" s="10"/>
      <x:c r="L45" s="10"/>
      <x:c r="M45" s="10"/>
      <x:c r="N45" s="13"/>
      <x:c r="O45" s="10" t="str">
        <x:f>IF(L45&lt;&gt;"",L45,IF(H45="","未実施",H45))</x:f>
        <x:v>未実施</x:v>
      </x:c>
      <x:c r="P45" s="10" t="str">
        <x:v>Web根拠：Mcm1001pExcelService.java／Mcm1002uController.java。VB比較対象：Mcm1001pExcel.vb・Constant.vbと起動元画面。対応する機能条件は末尾の根拠一覧参照。原案に推定・実機記録項目あり。判断基準は下記訂正またはQ一覧で管理。</x:v>
      </x:c>
    </x:row>
    <x:row r="46" ht="120" customHeight="1">
      <x:c r="A46" s="10" t="str">
        <x:v>1001P-19</x:v>
      </x:c>
      <x:c r="B46" s="10" t="str">
        <x:v>書式</x:v>
      </x:c>
      <x:c r="C46" s="10" t="str">
        <x:v>見積依頼書：明細の罫線が明細の行数に合わせて付く</x:v>
      </x:c>
      <x:c r="D46" s="10" t="str">
        <x:v>【前提条件】
・MCM1002U（機器選定の基本画面）(見積依頼機器選定)を表示できる状態である。
・機器構成が3件以上登録されている。</x:v>
      </x:c>
      <x:c r="E46" s="10" t="str">
        <x:v>1. MCM1002U（機器選定の基本画面）で「次へ」ボタンを押下し、MCM1002U（機器選定の次画面）を表示する。
2. 「依頼書発行」ボタンを押下する。
3. 取得したファイルを手動で開いたExcelの最初のシートで、明細の最終行付近の枠線を確認する。
4. 共通手順W01に従い対象ファイルを取得し、Excelで開いて本ケースの期待結果を確認する。異常系はファイルが取得されないことを確認する。</x:v>
      </x:c>
      <x:c r="F46" s="10" t="str">
        <x:v>1. 明細の最終行まで、各列の枠線が途切れずに付いている。
2. 明細の最終行の下の行に、明細の枠線が付いていない。</x:v>
      </x:c>
      <x:c r="G46" s="10" t="str">
        <x:v>－</x:v>
      </x:c>
      <x:c r="H46" s="10"/>
      <x:c r="I46" s="10"/>
      <x:c r="J46" s="13"/>
      <x:c r="K46" s="10"/>
      <x:c r="L46" s="10"/>
      <x:c r="M46" s="10"/>
      <x:c r="N46" s="13"/>
      <x:c r="O46" s="10" t="str">
        <x:f>IF(L46&lt;&gt;"",L46,IF(H46="","未実施",H46))</x:f>
        <x:v>未実施</x:v>
      </x:c>
      <x:c r="P46" s="10" t="str">
        <x:v>Web根拠：Mcm1001pExcelService.java／Mcm1002uController.java。VB比較対象：Mcm1001pExcel.vb・Constant.vbと起動元画面。対応する機能条件は末尾の根拠一覧参照。</x:v>
      </x:c>
    </x:row>
    <x:row r="47" ht="120" customHeight="1">
      <x:c r="A47" s="10" t="str">
        <x:v>1001P-20</x:v>
      </x:c>
      <x:c r="B47" s="10" t="str">
        <x:v>ヘッダー</x:v>
      </x:c>
      <x:c r="C47" s="10" t="str">
        <x:v>見積依頼書：回答希望日が未設定の場合の出力</x:v>
      </x:c>
      <x:c r="D47" s="10" t="str">
        <x:v>【前提条件】
・MCM1002U（機器選定の基本画面）(見積依頼機器選定)を表示できる状態である。
・取引先見積依頼が1件あり、契約時間帯が1つ、機器構成が1件以上登録されている。
・「見積情報」一覧の「回答希望日」が空である。</x:v>
      </x:c>
      <x:c r="E47" s="10" t="str">
        <x:v>1. MCM1002U（機器選定の基本画面）で「次へ」ボタンを押下し、MCM1002U（機器選定の次画面）を表示する。
2. 「依頼書発行」ボタンを押下する。
3. 取得したファイルを手動で開いたExcelの最初のシートで、3行目の「回答希望日」の右の欄を確認する。
4. 共通手順W01に従い対象ファイルを取得し、Excelで開いて本ケースの期待結果を確認する。異常系はファイルが取得されないことを確認する。</x:v>
      </x:c>
      <x:c r="F47" s="10" t="str">
        <x:v>1. 「回答希望日」の右の欄が空欄である（「0」や日付の初期値が入っていない）。
2. エラーメッセージが表示されず、ファイルが作成される。</x:v>
      </x:c>
      <x:c r="G47" s="10" t="str">
        <x:v>－</x:v>
      </x:c>
      <x:c r="H47" s="10"/>
      <x:c r="I47" s="10"/>
      <x:c r="J47" s="13"/>
      <x:c r="K47" s="10"/>
      <x:c r="L47" s="10"/>
      <x:c r="M47" s="10"/>
      <x:c r="N47" s="13"/>
      <x:c r="O47" s="10" t="str">
        <x:f>IF(L47&lt;&gt;"",L47,IF(H47="","未実施",H47))</x:f>
        <x:v>未実施</x:v>
      </x:c>
      <x:c r="P47" s="10" t="str">
        <x:v>Web根拠：Mcm1001pExcelService.java／Mcm1002uController.java。VB比較対象：Mcm1001pExcel.vb・Constant.vbと起動元画面。対応する機能条件は末尾の根拠一覧参照。</x:v>
      </x:c>
    </x:row>
    <x:row r="48" ht="120" customHeight="1">
      <x:c r="A48" s="10" t="str">
        <x:v>1001P-21</x:v>
      </x:c>
      <x:c r="B48" s="10" t="str">
        <x:v>ヘッダー</x:v>
      </x:c>
      <x:c r="C48" s="10" t="str">
        <x:v>見積依頼書：保守方法が未設定の場合の出力</x:v>
      </x:c>
      <x:c r="D48" s="10" t="str">
        <x:v>【前提条件】
・MCM1002U（機器選定の基本画面）(見積依頼機器選定)を表示できる状態である。
・取引先見積依頼が1件あり、契約時間帯が1つ、機器構成が1件以上登録されている。
・「見積情報」一覧の「保守方法」が未選択（空）である。</x:v>
      </x:c>
      <x:c r="E48" s="10" t="str">
        <x:v>1. MCM1002U（機器選定の基本画面）で「次へ」ボタンを押下し、MCM1002U（機器選定の次画面）を表示する。
2. 「依頼書発行」ボタンを押下する。
3. 取得したファイルを手動で開いたExcelの最初のシートで、4行目の「保守方法」の右の欄を確認する。
4. 共通手順W01に従い対象ファイルを取得し、Excelで開いて本ケースの期待結果を確認する。異常系はファイルが取得されないことを確認する。</x:v>
      </x:c>
      <x:c r="F48" s="10" t="str">
        <x:v>1. 「保守方法」の右の欄が空欄である（「0」などの文字が入っていない）。
2. エラーメッセージが表示されず、ファイルが作成される。</x:v>
      </x:c>
      <x:c r="G48" s="10" t="str">
        <x:v>－</x:v>
      </x:c>
      <x:c r="H48" s="10"/>
      <x:c r="I48" s="10"/>
      <x:c r="J48" s="13"/>
      <x:c r="K48" s="10"/>
      <x:c r="L48" s="10"/>
      <x:c r="M48" s="10"/>
      <x:c r="N48" s="13"/>
      <x:c r="O48" s="10" t="str">
        <x:f>IF(L48&lt;&gt;"",L48,IF(H48="","未実施",H48))</x:f>
        <x:v>未実施</x:v>
      </x:c>
      <x:c r="P48" s="10" t="str">
        <x:v>Web根拠：Mcm1001pExcelService.java／Mcm1002uController.java。VB比較対象：Mcm1001pExcel.vb・Constant.vbと起動元画面。対応する機能条件は末尾の根拠一覧参照。</x:v>
      </x:c>
    </x:row>
    <x:row r="49" ht="120" customHeight="1">
      <x:c r="A49" s="10" t="str">
        <x:v>1001P-22</x:v>
      </x:c>
      <x:c r="B49" s="10" t="str">
        <x:v>出力起点</x:v>
      </x:c>
      <x:c r="C49" s="10" t="str">
        <x:v>同名の取得済みファイルがある場合</x:v>
      </x:c>
      <x:c r="D49" s="10" t="str">
        <x:v>【前提条件】
・MCM1002U（機器選定の基本画面）(見積依頼機器選定)を表示できる状態である。
・取引先見積依頼が1件あり、契約時間帯が1つ、機器構成が1件以上登録されている。
・保存先フォルダに、同じ名前のxlsxファイルがすでにある（1001P-3で作成したファイルでよい。Excelでは閉じておく）。</x:v>
      </x:c>
      <x:c r="E49" s="10" t="str">
        <x:v>1. 同じ帳票を一度取得する。
2. 同じ条件で再度出力する。
3. ブラウザの保存動作と新旧ファイルの内容を確認する。</x:v>
      </x:c>
      <x:c r="F49" s="10" t="str">
        <x:v>既存ファイルを勝手に破壊せず、新しい帳票を取得できる。連番付与・保存先確認・上書き確認の方式はブラウザ設定に従う。アプリ独自の上書き確認は要求しない。</x:v>
      </x:c>
      <x:c r="G49" s="10" t="str">
        <x:v>－</x:v>
      </x:c>
      <x:c r="H49" s="10"/>
      <x:c r="I49" s="10"/>
      <x:c r="J49" s="13"/>
      <x:c r="K49" s="10"/>
      <x:c r="L49" s="10"/>
      <x:c r="M49" s="10"/>
      <x:c r="N49" s="13"/>
      <x:c r="O49" s="10" t="str">
        <x:f>IF(L49&lt;&gt;"",L49,IF(H49="","未実施",H49))</x:f>
        <x:v>未実施</x:v>
      </x:c>
      <x:c r="P49" s="10" t="str">
        <x:v>Web根拠：Mcm1001pExcelService.java／Mcm1002uController.java。VB比較対象：Mcm1001pExcel.vb・Constant.vbと起動元画面。対応する機能条件は末尾の根拠一覧参照。</x:v>
      </x:c>
    </x:row>
    <x:row r="50" ht="120" customHeight="1">
      <x:c r="A50" s="10" t="str">
        <x:v>1001P-23</x:v>
      </x:c>
      <x:c r="B50" s="10" t="str">
        <x:v>ヘッダー</x:v>
      </x:c>
      <x:c r="C50" s="10" t="str">
        <x:v>見積依頼書：「点検有」「点検夜間対応有」にチェックがない場合の出力</x:v>
      </x:c>
      <x:c r="D50" s="10" t="str">
        <x:v>【前提条件】
・MCM1002U（機器選定の基本画面）(見積依頼機器選定)を表示できる状態である。
・取引先見積依頼が1件あり、契約時間帯が1つ、機器構成が1件以上登録されている。
・「見積情報」一覧の「点検有」と「点検夜間対応有」にチェックがない。</x:v>
      </x:c>
      <x:c r="E50" s="10" t="str">
        <x:v>1. MCM1002U（機器選定の基本画面）で「次へ」ボタンを押下し、MCM1002U（機器選定の次画面）を表示する。
2. 「依頼書発行」ボタンを押下する。
3. 取得したファイルを手動で開いたExcelの最初のシートで、5行目の「保守点検」「夜間点検」の右の欄を確認する。
4. 共通手順W01に従い対象ファイルを取得し、Excelで開いて本ケースの期待結果を確認する。異常系はファイルが取得されないことを確認する。</x:v>
      </x:c>
      <x:c r="F50" s="10" t="str">
        <x:v>「保守点検」は「点検なし」、「夜間点検」は「夜間対応なし」。コードの0・1をそのまま表示しない。</x:v>
      </x:c>
      <x:c r="G50" s="10" t="str">
        <x:v>－</x:v>
      </x:c>
      <x:c r="H50" s="10"/>
      <x:c r="I50" s="10"/>
      <x:c r="J50" s="13"/>
      <x:c r="K50" s="10"/>
      <x:c r="L50" s="10"/>
      <x:c r="M50" s="10"/>
      <x:c r="N50" s="13"/>
      <x:c r="O50" s="10" t="str">
        <x:f>IF(L50&lt;&gt;"",L50,IF(H50="","未実施",H50))</x:f>
        <x:v>未実施</x:v>
      </x:c>
      <x:c r="P50" s="10" t="str">
        <x:v>Web：Mcm1002uService 帳票ヘッダー組立（1以外の変換）。未設定nullと明示0のVB差はQ02。</x:v>
      </x:c>
    </x:row>
    <x:row r="51" ht="120" customHeight="1">
      <x:c r="A51" s="10" t="str">
        <x:v>1001P-24</x:v>
      </x:c>
      <x:c r="B51" s="10" t="str">
        <x:v>権限</x:v>
      </x:c>
      <x:c r="C51" s="10" t="str">
        <x:v>MCM1002U（機器選定の次画面）(見積依頼機器選定)：参照のみ権限のユーザーでも「依頼書発行」が押下でき、帳票が出力される</x:v>
      </x:c>
      <x:c r="D51" s="10" t="str">
        <x:v>【前提条件】
・MCM1002U（機器選定の基本画面）(見積依頼機器選定)を表示できる状態である。
・取引先見積依頼が1件あり、契約時間帯が1つ、機器構成が1件以上登録されている。
・ログインユーザーの「見積依頼機器選定」の画面権限が「参照」である。【要確認：参照権限のユーザーの用意】</x:v>
      </x:c>
      <x:c r="E51" s="10" t="str">
        <x:v>1. MCM1002U（機器選定の基本画面）で「次へ」ボタンを押下し、MCM1002U（機器選定の次画面）を表示する。
2. 「依頼書発行」ボタンと「登録」ボタンの状態（押下できるか、グレー表示か）を確認する。
3. 「依頼書発行」ボタンを押下する。
4. 共通手順W01に従い対象ファイルを取得し、Excelで開いて本ケースの期待結果を確認する。異常系はファイルが取得されないことを確認する。</x:v>
      </x:c>
      <x:c r="F51" s="10" t="str">
        <x:v>参照利用者でも既存対象の帳票を取得できる。登録は非活性であり、帳票出力だけで見積状態・明細・更新日時を変更しない。作成利用者の登録後発行とは区別する。</x:v>
      </x:c>
      <x:c r="G51" s="10" t="str">
        <x:v>－</x:v>
      </x:c>
      <x:c r="H51" s="10"/>
      <x:c r="I51" s="10"/>
      <x:c r="J51" s="13"/>
      <x:c r="K51" s="10"/>
      <x:c r="L51" s="10"/>
      <x:c r="M51" s="10"/>
      <x:c r="N51" s="13"/>
      <x:c r="O51" s="10" t="str">
        <x:f>IF(L51&lt;&gt;"",L51,IF(H51="","未実施",H51))</x:f>
        <x:v>未実施</x:v>
      </x:c>
      <x:c r="P51" s="10" t="str">
        <x:v>Web：Mcm1002uController /iraishoはcanUpdateの場合のみsaveAll・依頼状態更新。VBの副作用を参照権限で再現しない。</x:v>
      </x:c>
    </x:row>
    <x:row r="52" ht="45" customHeight="1">
      <x:c r="A52" s="10" t="str">
        <x:v>1001P-25</x:v>
      </x:c>
      <x:c r="B52" s="10" t="str">
        <x:v>追加／境界</x:v>
      </x:c>
      <x:c r="C52" s="10" t="str">
        <x:v>時間帯別明細の混入防止</x:v>
      </x:c>
      <x:c r="D52" s="10" t="str">
        <x:v>8Hだけの品名A、24Hだけの品名Bを持つ同一依頼を準備。</x:v>
      </x:c>
      <x:c r="E52" s="10" t="str">
        <x:v>両時間帯で依頼書発行し各シートを確認。</x:v>
      </x:c>
      <x:c r="F52" s="10" t="str">
        <x:v>8HにAのみ、24HにBのみ。別時間帯の品名・数量・製番を混入しない。</x:v>
      </x:c>
      <x:c r="G52" s="10" t="str">
        <x:v>－</x:v>
      </x:c>
      <x:c r="H52" s="10"/>
      <x:c r="I52" s="10"/>
      <x:c r="J52" s="13"/>
      <x:c r="K52" s="10"/>
      <x:c r="L52" s="10"/>
      <x:c r="M52" s="10"/>
      <x:c r="N52" s="13"/>
      <x:c r="O52" s="10" t="str">
        <x:f>IF(L52&lt;&gt;"",L52,IF(H52="","未実施",H52))</x:f>
        <x:v>未実施</x:v>
      </x:c>
      <x:c r="P52" s="10" t="str">
        <x:v>1001P-16の明細分離を異なる実データで確認。</x:v>
      </x:c>
    </x:row>
    <x:row r="53" ht="45" customHeight="1">
      <x:c r="A53" s="10" t="str">
        <x:v>1001P-26</x:v>
      </x:c>
      <x:c r="B53" s="10" t="str">
        <x:v>追加／境界</x:v>
      </x:c>
      <x:c r="C53" s="10" t="str">
        <x:v>複数取引先の出力対象を取りこぼさない</x:v>
      </x:c>
      <x:c r="D53" s="10" t="str">
        <x:v>異なる取引先・依頼NOを3件準備。</x:v>
      </x:c>
      <x:c r="E53" s="10" t="str">
        <x:v>一度の発行操作後、取得ファイル全体の依頼NOを照合。</x:v>
      </x:c>
      <x:c r="F53" s="10" t="str">
        <x:v>全対象を取得でき、先頭1件のみにならない。取得方式はQ02、現行欠落はF01。</x:v>
      </x:c>
      <x:c r="G53" s="10" t="str">
        <x:v>－</x:v>
      </x:c>
      <x:c r="H53" s="10"/>
      <x:c r="I53" s="10"/>
      <x:c r="J53" s="13"/>
      <x:c r="K53" s="10"/>
      <x:c r="L53" s="10"/>
      <x:c r="M53" s="10"/>
      <x:c r="N53" s="13"/>
      <x:c r="O53" s="10" t="str">
        <x:f>IF(L53&lt;&gt;"",L53,IF(H53="","未実施",H53))</x:f>
        <x:v>未実施</x:v>
      </x:c>
      <x:c r="P53" s="10" t="str">
        <x:v>追加観点。Web根拠一覧参照。</x:v>
      </x:c>
    </x:row>
    <x:row r="54" ht="50" customHeight="1">
      <x:c r="A54" s="10" t="str">
        <x:v>1001P-27</x:v>
      </x:c>
      <x:c r="B54" s="10" t="str">
        <x:v>追加／境界</x:v>
      </x:c>
      <x:c r="C54" s="10" t="str">
        <x:v>ファイル名・シート名の特殊文字と重複</x:v>
      </x:c>
      <x:c r="D54" s="10" t="str">
        <x:v>日本語・空白・シート禁止文字・31文字超・同名に正規化される2対象を準備。実DBに作れない名称は生成単体テストに渡す。</x:v>
      </x:c>
      <x:c r="E54" s="10" t="str">
        <x:v>対象を出力し名前と対応データを確認。</x:v>
      </x:c>
      <x:c r="F54" s="10" t="str">
        <x:v>安全なファイル名／シート名で取得でき、重複対象を上書き・欠落させない。</x:v>
      </x:c>
      <x:c r="G54" s="10" t="str">
        <x:v>－</x:v>
      </x:c>
      <x:c r="H54" s="10"/>
      <x:c r="I54" s="10"/>
      <x:c r="J54" s="13"/>
      <x:c r="K54" s="10"/>
      <x:c r="L54" s="10"/>
      <x:c r="M54" s="10"/>
      <x:c r="N54" s="13"/>
      <x:c r="O54" s="10" t="str">
        <x:f>IF(L54&lt;&gt;"",L54,IF(H54="","未実施",H54))</x:f>
        <x:v>未実施</x:v>
      </x:c>
      <x:c r="P54" s="10" t="str">
        <x:v>追加観点。Web根拠一覧参照。</x:v>
      </x:c>
    </x:row>
  </x:sheetData>
  <x:mergeCells>
    <x:mergeCell ref="A1:P1"/>
    <x:mergeCell ref="A3:C3"/>
    <x:mergeCell ref="D3:P3"/>
    <x:mergeCell ref="A4:C4"/>
    <x:mergeCell ref="D4:P4"/>
    <x:mergeCell ref="A6:P6"/>
    <x:mergeCell ref="A7:C7"/>
    <x:mergeCell ref="D7:P7"/>
    <x:mergeCell ref="A8:C8"/>
    <x:mergeCell ref="D8:P8"/>
    <x:mergeCell ref="A9:C9"/>
    <x:mergeCell ref="D9:P9"/>
    <x:mergeCell ref="A10:C10"/>
    <x:mergeCell ref="D10:P10"/>
    <x:mergeCell ref="A14:P14"/>
    <x:mergeCell ref="A16:C16"/>
    <x:mergeCell ref="D16:P16"/>
    <x:mergeCell ref="A17:C17"/>
    <x:mergeCell ref="D17:P17"/>
    <x:mergeCell ref="A18:C18"/>
    <x:mergeCell ref="D18:P18"/>
    <x:mergeCell ref="A20:C20"/>
    <x:mergeCell ref="D20:P20"/>
    <x:mergeCell ref="A26:P26"/>
  </x:mergeCells>
  <x:dataValidations count="2">
    <x:dataValidation type="list" sqref="H29:H54">
      <x:formula1>"未実施,OK,NG,保留,対象外"</x:formula1>
    </x:dataValidation>
    <x:dataValidation type="list" sqref="L29:L54">
      <x:formula1>"未実施,OK,NG,保留,対象外"</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pane ySplit="27" topLeftCell="A28" activePane="bottomLeft" state="frozen"/>
    </x:sheetView>
  </x:sheetViews>
  <x:sheetFormatPr defaultRowHeight="15"/>
  <x:cols>
    <x:col min="1" max="1" width="13" hidden="0" customWidth="1"/>
    <x:col min="2" max="2" width="14" hidden="0" customWidth="1"/>
    <x:col min="3" max="3" width="44" hidden="0" customWidth="1"/>
    <x:col min="4" max="4" width="52" hidden="0" customWidth="1"/>
    <x:col min="5" max="5" width="60" hidden="0" customWidth="1"/>
    <x:col min="6" max="6" width="64" hidden="0" customWidth="1"/>
    <x:col min="7" max="7" width="40" hidden="0" customWidth="1"/>
    <x:col min="8" max="8" width="12" hidden="0" customWidth="1"/>
    <x:col min="9" max="9" width="14" hidden="0" customWidth="1"/>
    <x:col min="10" max="10" width="15" hidden="0" customWidth="1"/>
    <x:col min="11" max="11" width="40" hidden="0" customWidth="1"/>
    <x:col min="12" max="12" width="14" hidden="0" customWidth="1"/>
    <x:col min="13" max="13" width="17" hidden="0" customWidth="1"/>
    <x:col min="14" max="14" width="17" hidden="0" customWidth="1"/>
    <x:col min="15" max="15" width="13" hidden="0" customWidth="1"/>
    <x:col min="16" max="16" width="54" hidden="0" customWidth="1"/>
  </x:cols>
  <x:sheetData>
    <x:row r="1" ht="26" customHeight="1">
      <x:c r="A1" s="4" t="str">
        <x:v>MCM1002P_見積依頼リスト 単体テスト仕様書</x:v>
      </x:c>
      <x:c r="B1" s="4"/>
      <x:c r="C1" s="4"/>
      <x:c r="D1" s="4"/>
      <x:c r="E1" s="4"/>
      <x:c r="F1" s="4"/>
      <x:c r="G1" s="4"/>
      <x:c r="H1" s="4"/>
      <x:c r="I1" s="4"/>
      <x:c r="J1" s="4"/>
      <x:c r="K1" s="4"/>
      <x:c r="L1" s="4"/>
      <x:c r="M1" s="4"/>
      <x:c r="N1" s="4"/>
      <x:c r="O1" s="4"/>
      <x:c r="P1" s="4"/>
    </x:row>
    <x:row r="2">
      <x:c r="A2" s="3"/>
      <x:c r="B2" s="3"/>
      <x:c r="C2" s="3"/>
      <x:c r="D2" s="3"/>
      <x:c r="E2" s="3"/>
      <x:c r="F2" s="3"/>
      <x:c r="G2" s="3"/>
      <x:c r="H2" s="3"/>
      <x:c r="I2" s="3"/>
      <x:c r="J2" s="3"/>
      <x:c r="K2" s="3"/>
      <x:c r="L2" s="3"/>
      <x:c r="M2" s="3"/>
      <x:c r="N2" s="3"/>
      <x:c r="O2" s="3"/>
      <x:c r="P2" s="3"/>
    </x:row>
    <x:row r="3" ht="34" customHeight="1">
      <x:c r="A3" s="3" t="str">
        <x:v>画面情報</x:v>
      </x:c>
      <x:c r="B3" s="3"/>
      <x:c r="C3" s="3"/>
      <x:c r="D3" s="3" t="str">
        <x:v>起点：取引先見積・契約検索（MCM1003U）で検索後「依頼一覧出力」。</x:v>
      </x:c>
      <x:c r="E3" s="3"/>
      <x:c r="F3" s="3"/>
      <x:c r="G3" s="3"/>
      <x:c r="H3" s="3"/>
      <x:c r="I3" s="3"/>
      <x:c r="J3" s="3"/>
      <x:c r="K3" s="3"/>
      <x:c r="L3" s="3"/>
      <x:c r="M3" s="3"/>
      <x:c r="N3" s="3"/>
      <x:c r="O3" s="3"/>
      <x:c r="P3" s="3"/>
    </x:row>
    <x:row r="4" ht="48" customHeight="1">
      <x:c r="A4" s="3" t="str">
        <x:v>出力形式・名称</x:v>
      </x:c>
      <x:c r="B4" s="3"/>
      <x:c r="C4" s="3"/>
      <x:c r="D4" s="3" t="str">
        <x:v>取得形式／名前：見積依頼リスト.xls。共通W01〜W06も実施する。</x:v>
      </x:c>
      <x:c r="E4" s="3"/>
      <x:c r="F4" s="3"/>
      <x:c r="G4" s="3"/>
      <x:c r="H4" s="3"/>
      <x:c r="I4" s="3"/>
      <x:c r="J4" s="3"/>
      <x:c r="K4" s="3"/>
      <x:c r="L4" s="3"/>
      <x:c r="M4" s="3"/>
      <x:c r="N4" s="3"/>
      <x:c r="O4" s="3"/>
      <x:c r="P4" s="3"/>
    </x:row>
    <x:row r="5">
      <x:c r="A5" s="3"/>
      <x:c r="B5" s="3"/>
      <x:c r="C5" s="3"/>
      <x:c r="D5" s="3"/>
      <x:c r="E5" s="3"/>
      <x:c r="F5" s="3"/>
      <x:c r="G5" s="3"/>
      <x:c r="H5" s="3"/>
      <x:c r="I5" s="3"/>
      <x:c r="J5" s="3"/>
      <x:c r="K5" s="3"/>
      <x:c r="L5" s="3"/>
      <x:c r="M5" s="3"/>
      <x:c r="N5" s="3"/>
      <x:c r="O5" s="3"/>
      <x:c r="P5" s="3"/>
    </x:row>
    <x:row r="6">
      <x:c r="A6" s="6" t="str">
        <x:v>根拠ソース</x:v>
      </x:c>
      <x:c r="B6" s="6" t="str">
        <x:v>根拠ソース</x:v>
      </x:c>
      <x:c r="C6" s="6" t="str">
        <x:v>根拠ソース</x:v>
      </x:c>
      <x:c r="D6" s="6" t="str">
        <x:v>根拠ソース</x:v>
      </x:c>
      <x:c r="E6" s="6" t="str">
        <x:v>根拠ソース</x:v>
      </x:c>
      <x:c r="F6" s="6" t="str">
        <x:v>根拠ソース</x:v>
      </x:c>
      <x:c r="G6" s="6" t="str">
        <x:v>根拠ソース</x:v>
      </x:c>
      <x:c r="H6" s="6" t="str">
        <x:v>根拠ソース</x:v>
      </x:c>
      <x:c r="I6" s="6" t="str">
        <x:v>根拠ソース</x:v>
      </x:c>
      <x:c r="J6" s="6" t="str">
        <x:v>根拠ソース</x:v>
      </x:c>
      <x:c r="K6" s="6" t="str">
        <x:v>根拠ソース</x:v>
      </x:c>
      <x:c r="L6" s="6" t="str">
        <x:v>根拠ソース</x:v>
      </x:c>
      <x:c r="M6" s="6" t="str">
        <x:v>根拠ソース</x:v>
      </x:c>
      <x:c r="N6" s="6" t="str">
        <x:v>根拠ソース</x:v>
      </x:c>
      <x:c r="O6" s="6" t="str">
        <x:v>根拠ソース</x:v>
      </x:c>
      <x:c r="P6" s="6" t="str">
        <x:v>根拠ソース</x:v>
      </x:c>
    </x:row>
    <x:row r="7" ht="26" customHeight="1">
      <x:c r="A7" s="3" t="str">
        <x:v>VB版</x:v>
      </x:c>
      <x:c r="B7" s="3"/>
      <x:c r="C7" s="3"/>
      <x:c r="D7" s="3" t="str">
        <x:v>帳票のExcel.vb・Constant.vb／起動元イベント。既知不具合は再現を合格にしない。</x:v>
      </x:c>
      <x:c r="E7" s="3"/>
      <x:c r="F7" s="3"/>
      <x:c r="G7" s="3"/>
      <x:c r="H7" s="3"/>
      <x:c r="I7" s="3"/>
      <x:c r="J7" s="3"/>
      <x:c r="K7" s="3"/>
      <x:c r="L7" s="3"/>
      <x:c r="M7" s="3"/>
      <x:c r="N7" s="3"/>
      <x:c r="O7" s="3"/>
      <x:c r="P7" s="3"/>
    </x:row>
    <x:row r="8" ht="26" customHeight="1">
      <x:c r="A8" s="3" t="str">
        <x:v>Java版</x:v>
      </x:c>
      <x:c r="B8" s="3"/>
      <x:c r="C8" s="3"/>
      <x:c r="D8" s="3" t="str">
        <x:v>最新Webの帳票Service・起動元Controller。本文の備考／根拠欄とMD末尾を参照。</x:v>
      </x:c>
      <x:c r="E8" s="3"/>
      <x:c r="F8" s="3"/>
      <x:c r="G8" s="3"/>
      <x:c r="H8" s="3"/>
      <x:c r="I8" s="3"/>
      <x:c r="J8" s="3"/>
      <x:c r="K8" s="3"/>
      <x:c r="L8" s="3"/>
      <x:c r="M8" s="3"/>
      <x:c r="N8" s="3"/>
      <x:c r="O8" s="3"/>
      <x:c r="P8" s="3"/>
    </x:row>
    <x:row r="9" ht="26" customHeight="1">
      <x:c r="A9" s="3" t="str">
        <x:v>メッセージ</x:v>
      </x:c>
      <x:c r="B9" s="3"/>
      <x:c r="C9" s="3"/>
      <x:c r="D9" s="3" t="str">
        <x:v>Web画面の通知で判断。VBのネイティブダイアログ・Excel自動起動を要求しない。</x:v>
      </x:c>
      <x:c r="E9" s="3"/>
      <x:c r="F9" s="3"/>
      <x:c r="G9" s="3"/>
      <x:c r="H9" s="3"/>
      <x:c r="I9" s="3"/>
      <x:c r="J9" s="3"/>
      <x:c r="K9" s="3"/>
      <x:c r="L9" s="3"/>
      <x:c r="M9" s="3"/>
      <x:c r="N9" s="3"/>
      <x:c r="O9" s="3"/>
      <x:c r="P9" s="3"/>
    </x:row>
    <x:row r="10" ht="26" customHeight="1">
      <x:c r="A10" s="3" t="str">
        <x:v>参照資料</x:v>
      </x:c>
      <x:c r="B10" s="3"/>
      <x:c r="C10" s="3"/>
      <x:c r="D10" s="3" t="str">
        <x:v>同梱MDの共通確認・F01〜F04・Q01〜Q06。正式な実機確認結果はこれから記入する。</x:v>
      </x:c>
      <x:c r="E10" s="3"/>
      <x:c r="F10" s="3"/>
      <x:c r="G10" s="3"/>
      <x:c r="H10" s="3"/>
      <x:c r="I10" s="3"/>
      <x:c r="J10" s="3"/>
      <x:c r="K10" s="3"/>
      <x:c r="L10" s="3"/>
      <x:c r="M10" s="3"/>
      <x:c r="N10" s="3"/>
      <x:c r="O10" s="3"/>
      <x:c r="P10" s="3"/>
    </x:row>
    <x:row r="11">
      <x:c r="A11" s="3"/>
      <x:c r="B11" s="3"/>
      <x:c r="C11" s="3"/>
      <x:c r="D11" s="3"/>
      <x:c r="E11" s="3"/>
      <x:c r="F11" s="3"/>
      <x:c r="G11" s="3"/>
      <x:c r="H11" s="3"/>
      <x:c r="I11" s="3"/>
      <x:c r="J11" s="3"/>
      <x:c r="K11" s="3"/>
      <x:c r="L11" s="3"/>
      <x:c r="M11" s="3"/>
      <x:c r="N11" s="3"/>
      <x:c r="O11" s="3"/>
      <x:c r="P11" s="3"/>
    </x:row>
    <x:row r="12">
      <x:c r="A12" s="3"/>
      <x:c r="B12" s="3"/>
      <x:c r="C12" s="3"/>
      <x:c r="D12" s="3"/>
      <x:c r="E12" s="3"/>
      <x:c r="F12" s="3"/>
      <x:c r="G12" s="3"/>
      <x:c r="H12" s="3"/>
      <x:c r="I12" s="3"/>
      <x:c r="J12" s="3"/>
      <x:c r="K12" s="3"/>
      <x:c r="L12" s="3"/>
      <x:c r="M12" s="3"/>
      <x:c r="N12" s="3"/>
      <x:c r="O12" s="3"/>
      <x:c r="P12" s="3"/>
    </x:row>
    <x:row r="13">
      <x:c r="A13" s="3"/>
      <x:c r="B13" s="3"/>
      <x:c r="C13" s="3"/>
      <x:c r="D13" s="3"/>
      <x:c r="E13" s="3"/>
      <x:c r="F13" s="3"/>
      <x:c r="G13" s="3"/>
      <x:c r="H13" s="3"/>
      <x:c r="I13" s="3"/>
      <x:c r="J13" s="3"/>
      <x:c r="K13" s="3"/>
      <x:c r="L13" s="3"/>
      <x:c r="M13" s="3"/>
      <x:c r="N13" s="3"/>
      <x:c r="O13" s="3"/>
      <x:c r="P13" s="3"/>
    </x:row>
    <x:row r="14">
      <x:c r="A14" s="6" t="str">
        <x:v>機能一覧</x:v>
      </x:c>
      <x:c r="B14" s="6" t="str">
        <x:v>機能一覧</x:v>
      </x:c>
      <x:c r="C14" s="6" t="str">
        <x:v>機能一覧</x:v>
      </x:c>
      <x:c r="D14" s="6" t="str">
        <x:v>機能一覧</x:v>
      </x:c>
      <x:c r="E14" s="6" t="str">
        <x:v>機能一覧</x:v>
      </x:c>
      <x:c r="F14" s="6" t="str">
        <x:v>機能一覧</x:v>
      </x:c>
      <x:c r="G14" s="6" t="str">
        <x:v>機能一覧</x:v>
      </x:c>
      <x:c r="H14" s="6" t="str">
        <x:v>機能一覧</x:v>
      </x:c>
      <x:c r="I14" s="6" t="str">
        <x:v>機能一覧</x:v>
      </x:c>
      <x:c r="J14" s="6" t="str">
        <x:v>機能一覧</x:v>
      </x:c>
      <x:c r="K14" s="6" t="str">
        <x:v>機能一覧</x:v>
      </x:c>
      <x:c r="L14" s="6" t="str">
        <x:v>機能一覧</x:v>
      </x:c>
      <x:c r="M14" s="6" t="str">
        <x:v>機能一覧</x:v>
      </x:c>
      <x:c r="N14" s="6" t="str">
        <x:v>機能一覧</x:v>
      </x:c>
      <x:c r="O14" s="6" t="str">
        <x:v>機能一覧</x:v>
      </x:c>
      <x:c r="P14" s="6" t="str">
        <x:v>機能一覧</x:v>
      </x:c>
    </x:row>
    <x:row r="15">
      <x:c r="A15" s="3"/>
      <x:c r="B15" s="3"/>
      <x:c r="C15" s="3"/>
      <x:c r="D15" s="3"/>
      <x:c r="E15" s="3"/>
      <x:c r="F15" s="3"/>
      <x:c r="G15" s="3"/>
      <x:c r="H15" s="3"/>
      <x:c r="I15" s="3"/>
      <x:c r="J15" s="3"/>
      <x:c r="K15" s="3"/>
      <x:c r="L15" s="3"/>
      <x:c r="M15" s="3"/>
      <x:c r="N15" s="3"/>
      <x:c r="O15" s="3"/>
      <x:c r="P15" s="3"/>
    </x:row>
    <x:row r="16" ht="26" customHeight="1">
      <x:c r="A16" s="3" t="str">
        <x:v>1</x:v>
      </x:c>
      <x:c r="B16" s="3"/>
      <x:c r="C16" s="3"/>
      <x:c r="D16" s="3" t="str">
        <x:v>帳票の対象・項目・シート構成・表示書式・印刷の確認</x:v>
      </x:c>
      <x:c r="E16" s="3"/>
      <x:c r="F16" s="3"/>
      <x:c r="G16" s="3"/>
      <x:c r="H16" s="3"/>
      <x:c r="I16" s="3"/>
      <x:c r="J16" s="3"/>
      <x:c r="K16" s="3"/>
      <x:c r="L16" s="3"/>
      <x:c r="M16" s="3"/>
      <x:c r="N16" s="3"/>
      <x:c r="O16" s="3"/>
      <x:c r="P16" s="3"/>
    </x:row>
    <x:row r="17" ht="26" customHeight="1">
      <x:c r="A17" s="3" t="str">
        <x:v>2</x:v>
      </x:c>
      <x:c r="B17" s="3"/>
      <x:c r="C17" s="3"/>
      <x:c r="D17" s="3" t="str">
        <x:v>0件・入力不備・権限・失敗・境界・計算条件の確認</x:v>
      </x:c>
      <x:c r="E17" s="3"/>
      <x:c r="F17" s="3"/>
      <x:c r="G17" s="3"/>
      <x:c r="H17" s="3"/>
      <x:c r="I17" s="3"/>
      <x:c r="J17" s="3"/>
      <x:c r="K17" s="3"/>
      <x:c r="L17" s="3"/>
      <x:c r="M17" s="3"/>
      <x:c r="N17" s="3"/>
      <x:c r="O17" s="3"/>
      <x:c r="P17" s="3"/>
    </x:row>
    <x:row r="18" ht="26" customHeight="1">
      <x:c r="A18" s="3" t="str">
        <x:v>3</x:v>
      </x:c>
      <x:c r="B18" s="3"/>
      <x:c r="C18" s="3"/>
      <x:c r="D18" s="3" t="str">
        <x:v>共通確認を関連ケースで実施し、重複する取得操作は再利用</x:v>
      </x:c>
      <x:c r="E18" s="3"/>
      <x:c r="F18" s="3"/>
      <x:c r="G18" s="3"/>
      <x:c r="H18" s="3"/>
      <x:c r="I18" s="3"/>
      <x:c r="J18" s="3"/>
      <x:c r="K18" s="3"/>
      <x:c r="L18" s="3"/>
      <x:c r="M18" s="3"/>
      <x:c r="N18" s="3"/>
      <x:c r="O18" s="3"/>
      <x:c r="P18" s="3"/>
    </x:row>
    <x:row r="19">
      <x:c r="A19" s="3"/>
      <x:c r="B19" s="3"/>
      <x:c r="C19" s="3"/>
      <x:c r="D19" s="3"/>
      <x:c r="E19" s="3"/>
      <x:c r="F19" s="3"/>
      <x:c r="G19" s="3"/>
      <x:c r="H19" s="3"/>
      <x:c r="I19" s="3"/>
      <x:c r="J19" s="3"/>
      <x:c r="K19" s="3"/>
      <x:c r="L19" s="3"/>
      <x:c r="M19" s="3"/>
      <x:c r="N19" s="3"/>
      <x:c r="O19" s="3"/>
      <x:c r="P19" s="3"/>
    </x:row>
    <x:row r="20" ht="30" customHeight="1">
      <x:c r="A20" s="3" t="str">
        <x:v>分類</x:v>
      </x:c>
      <x:c r="B20" s="3"/>
      <x:c r="C20" s="3"/>
      <x:c r="D20" s="3" t="str">
        <x:v>出力起点／帳票レイアウト／一覧出力／書式／0件／権限／追加／境界</x:v>
      </x:c>
      <x:c r="E20" s="3"/>
      <x:c r="F20" s="3"/>
      <x:c r="G20" s="3"/>
      <x:c r="H20" s="3"/>
      <x:c r="I20" s="3"/>
      <x:c r="J20" s="3"/>
      <x:c r="K20" s="3"/>
      <x:c r="L20" s="3"/>
      <x:c r="M20" s="3"/>
      <x:c r="N20" s="3"/>
      <x:c r="O20" s="3"/>
      <x:c r="P20" s="3"/>
    </x:row>
    <x:row r="21">
      <x:c r="A21" s="3"/>
      <x:c r="B21" s="3"/>
      <x:c r="C21" s="3"/>
      <x:c r="D21" s="3"/>
      <x:c r="E21" s="3"/>
      <x:c r="F21" s="3"/>
      <x:c r="G21" s="3"/>
      <x:c r="H21" s="3"/>
      <x:c r="I21" s="3"/>
      <x:c r="J21" s="3"/>
      <x:c r="K21" s="3"/>
      <x:c r="L21" s="3"/>
      <x:c r="M21" s="3"/>
      <x:c r="N21" s="3"/>
      <x:c r="O21" s="3"/>
      <x:c r="P21" s="3"/>
    </x:row>
    <x:row r="22">
      <x:c r="A22" s="3"/>
      <x:c r="B22" s="3"/>
      <x:c r="C22" s="3"/>
      <x:c r="D22" s="3"/>
      <x:c r="E22" s="3"/>
      <x:c r="F22" s="3"/>
      <x:c r="G22" s="3"/>
      <x:c r="H22" s="3"/>
      <x:c r="I22" s="3"/>
      <x:c r="J22" s="3"/>
      <x:c r="K22" s="3"/>
      <x:c r="L22" s="3"/>
      <x:c r="M22" s="3"/>
      <x:c r="N22" s="3"/>
      <x:c r="O22" s="3"/>
      <x:c r="P22" s="3"/>
    </x:row>
    <x:row r="23">
      <x:c r="A23" s="3" t="str">
        <x:v>件数</x:v>
      </x:c>
      <x:c r="B23" s="3" t="n">
        <x:f>COUNTA(A29:A45)</x:f>
        <x:v>17</x:v>
      </x:c>
      <x:c r="C23" s="3" t="str">
        <x:v>OK</x:v>
      </x:c>
      <x:c r="D23" s="3" t="n">
        <x:f>COUNTIF(O29:O45,"OK")</x:f>
        <x:v>0</x:v>
      </x:c>
      <x:c r="E23" s="3" t="str">
        <x:v>NG</x:v>
      </x:c>
      <x:c r="F23" s="3" t="n">
        <x:f>COUNTIF(O29:O45,"NG")</x:f>
        <x:v>0</x:v>
      </x:c>
      <x:c r="G23" s="3" t="str">
        <x:v>未実施</x:v>
      </x:c>
      <x:c r="H23" s="3" t="n">
        <x:f>COUNTIF(O29:O45,"未実施")</x:f>
        <x:v>17</x:v>
      </x:c>
      <x:c r="I23" s="3"/>
      <x:c r="J23" s="3"/>
      <x:c r="K23" s="3"/>
      <x:c r="L23" s="3"/>
      <x:c r="M23" s="3"/>
      <x:c r="N23" s="3"/>
      <x:c r="O23" s="3"/>
      <x:c r="P23" s="3"/>
    </x:row>
    <x:row r="24">
      <x:c r="A24" s="3"/>
      <x:c r="B24" s="3"/>
      <x:c r="C24" s="3"/>
      <x:c r="D24" s="3"/>
      <x:c r="E24" s="3"/>
      <x:c r="F24" s="3"/>
      <x:c r="G24" s="3"/>
      <x:c r="H24" s="3"/>
      <x:c r="I24" s="3"/>
      <x:c r="J24" s="3"/>
      <x:c r="K24" s="3"/>
      <x:c r="L24" s="3"/>
      <x:c r="M24" s="3"/>
      <x:c r="N24" s="3"/>
      <x:c r="O24" s="3"/>
      <x:c r="P24" s="3"/>
    </x:row>
    <x:row r="25">
      <x:c r="A25" s="3"/>
      <x:c r="B25" s="3"/>
      <x:c r="C25" s="3"/>
      <x:c r="D25" s="3"/>
      <x:c r="E25" s="3"/>
      <x:c r="F25" s="3"/>
      <x:c r="G25" s="3"/>
      <x:c r="H25" s="3"/>
      <x:c r="I25" s="3"/>
      <x:c r="J25" s="3"/>
      <x:c r="K25" s="3"/>
      <x:c r="L25" s="3"/>
      <x:c r="M25" s="3"/>
      <x:c r="N25" s="3"/>
      <x:c r="O25" s="3"/>
      <x:c r="P25" s="3"/>
    </x:row>
    <x:row r="26">
      <x:c r="A26" s="6" t="str">
        <x:v>単体テストケース</x:v>
      </x:c>
      <x:c r="B26" s="6" t="str">
        <x:v>単体テストケース</x:v>
      </x:c>
      <x:c r="C26" s="6" t="str">
        <x:v>単体テストケース</x:v>
      </x:c>
      <x:c r="D26" s="6" t="str">
        <x:v>単体テストケース</x:v>
      </x:c>
      <x:c r="E26" s="6" t="str">
        <x:v>単体テストケース</x:v>
      </x:c>
      <x:c r="F26" s="6" t="str">
        <x:v>単体テストケース</x:v>
      </x:c>
      <x:c r="G26" s="6" t="str">
        <x:v>単体テストケース</x:v>
      </x:c>
      <x:c r="H26" s="6" t="str">
        <x:v>単体テストケース</x:v>
      </x:c>
      <x:c r="I26" s="6" t="str">
        <x:v>単体テストケース</x:v>
      </x:c>
      <x:c r="J26" s="6" t="str">
        <x:v>単体テストケース</x:v>
      </x:c>
      <x:c r="K26" s="6" t="str">
        <x:v>単体テストケース</x:v>
      </x:c>
      <x:c r="L26" s="6" t="str">
        <x:v>単体テストケース</x:v>
      </x:c>
      <x:c r="M26" s="6" t="str">
        <x:v>単体テストケース</x:v>
      </x:c>
      <x:c r="N26" s="6" t="str">
        <x:v>単体テストケース</x:v>
      </x:c>
      <x:c r="O26" s="6" t="str">
        <x:v>単体テストケース</x:v>
      </x:c>
      <x:c r="P26" s="6" t="str">
        <x:v>単体テストケース</x:v>
      </x:c>
    </x:row>
    <x:row r="27" ht="28" customHeight="1">
      <x:c r="A27" s="9" t="str">
        <x:v>項番</x:v>
      </x:c>
      <x:c r="B27" s="9" t="str">
        <x:v>分類</x:v>
      </x:c>
      <x:c r="C27" s="9" t="str">
        <x:v>テスト項目</x:v>
      </x:c>
      <x:c r="D27" s="9" t="str">
        <x:v>前提条件</x:v>
      </x:c>
      <x:c r="E27" s="9" t="str">
        <x:v>操作内容(入力値)</x:v>
      </x:c>
      <x:c r="F27" s="9" t="str">
        <x:v>期待結果</x:v>
      </x:c>
      <x:c r="G27" s="9" t="str">
        <x:v>期待メッセージ</x:v>
      </x:c>
      <x:c r="H27" s="9" t="str">
        <x:v>テスト結果</x:v>
      </x:c>
      <x:c r="I27" s="9" t="str">
        <x:v>実施者</x:v>
      </x:c>
      <x:c r="J27" s="9" t="str">
        <x:v>実施日</x:v>
      </x:c>
      <x:c r="K27" s="9" t="str">
        <x:v>不具合内容</x:v>
      </x:c>
      <x:c r="L27" s="9" t="str">
        <x:v>再テスト結果</x:v>
      </x:c>
      <x:c r="M27" s="9" t="str">
        <x:v>再テスト実施者</x:v>
      </x:c>
      <x:c r="N27" s="9" t="str">
        <x:v>再テスト実施日</x:v>
      </x:c>
      <x:c r="O27" s="9" t="str">
        <x:v>最終判定</x:v>
      </x:c>
      <x:c r="P27" s="9" t="str">
        <x:v>備考／根拠</x:v>
      </x:c>
    </x:row>
    <x:row r="28">
      <x:c r="A28" s="3"/>
      <x:c r="B28" s="3"/>
      <x:c r="C28" s="3"/>
      <x:c r="D28" s="3"/>
      <x:c r="E28" s="3"/>
      <x:c r="F28" s="3"/>
      <x:c r="G28" s="3"/>
      <x:c r="H28" s="3"/>
      <x:c r="I28" s="3"/>
      <x:c r="J28" s="3"/>
      <x:c r="K28" s="3"/>
      <x:c r="L28" s="3"/>
      <x:c r="M28" s="3"/>
      <x:c r="N28" s="3"/>
      <x:c r="O28" s="3"/>
      <x:c r="P28" s="3"/>
    </x:row>
    <x:row r="29" ht="78" customHeight="1">
      <x:c r="A29" s="10" t="str">
        <x:v>1002P-1</x:v>
      </x:c>
      <x:c r="B29" s="10" t="str">
        <x:v>出力起点</x:v>
      </x:c>
      <x:c r="C29" s="10" t="str">
        <x:v>見積依頼リスト：Web画面から帳票を取得する</x:v>
      </x:c>
      <x:c r="D29" s="10" t="str">
        <x:v>【前提条件】
・メニュー(MCM0001U)から取引先見積・契約一覧(MCM1003U)を表示できる。
・状態が「依頼」の取引先見積依頼が1件以上登録されている。</x:v>
      </x:c>
      <x:c r="E29" s="10" t="str">
        <x:v>1. 本章の前提を準備する。
2. 取引先見積・契約検索（MCM1003U）で検索後「依頼一覧出力」を実施する。
3. W01に従いダウンロード履歴と取得ファイル名を確認する。
4. 対象ファイルを手動で開く。</x:v>
      </x:c>
      <x:c r="F29" s="10" t="str">
        <x:v>出力対象がある正常条件で、対象帳票を取得でき、Excelで開ける。ダウンロード名：見積依頼リスト.xls。拡張子とブック形式が一致し、Excelの形式不一致警告が出ない。Excel自動起動・ネイティブ保存画面は必須ではない。</x:v>
      </x:c>
      <x:c r="G29" s="10" t="str">
        <x:v>－</x:v>
      </x:c>
      <x:c r="H29" s="10"/>
      <x:c r="I29" s="10"/>
      <x:c r="J29" s="13"/>
      <x:c r="K29" s="10"/>
      <x:c r="L29" s="10"/>
      <x:c r="M29" s="10"/>
      <x:c r="N29" s="13"/>
      <x:c r="O29" s="10" t="str">
        <x:f>IF(L29&lt;&gt;"",L29,IF(H29="","未実施",H29))</x:f>
        <x:v>未実施</x:v>
      </x:c>
      <x:c r="P29" s="10" t="str">
        <x:v>Web根拠：Mcm1002pExcelService.java／Mcm1003uController.java。VB比較対象：Mcm1002pExcel.vb・Constant.vbと起動元画面。対応する機能条件は末尾の根拠一覧参照。</x:v>
      </x:c>
    </x:row>
    <x:row r="30" ht="78" customHeight="1">
      <x:c r="A30" s="10" t="str">
        <x:v>1002P-2</x:v>
      </x:c>
      <x:c r="B30" s="10" t="str">
        <x:v>出力起点</x:v>
      </x:c>
      <x:c r="C30" s="10" t="str">
        <x:v>Web取得操作：ブラウザの保存をキャンセルする</x:v>
      </x:c>
      <x:c r="D30" s="10" t="str">
        <x:v>【前提条件】
・1002P-1と同じ条件（状態が「依頼」の取引先見積依頼が1件以上登録されている）。
・保存先に指定するフォルダに、見積依頼リストのファイルがない。</x:v>
      </x:c>
      <x:c r="E30" s="10" t="str">
        <x:v>1. 本章の正常条件で出力する。
2. ブラウザ設定を「保存先を毎回確認」にし、保存をキャンセルする。
3. ダウンロード履歴・保存先・発行元の状態を確認する。</x:v>
      </x:c>
      <x:c r="F30" s="10" t="str">
        <x:v>キャンセルしたファイルが利用者PCに保存されない。Excelの自動起動は要求しない。ブラウザのキャンセルはアプリの発行取消ではなく、先に完了した登録・状態変更を戻さない。再取得の可否は各帳票の再発行条件に従う。</x:v>
      </x:c>
      <x:c r="G30" s="10" t="str">
        <x:v>－</x:v>
      </x:c>
      <x:c r="H30" s="10"/>
      <x:c r="I30" s="10"/>
      <x:c r="J30" s="13"/>
      <x:c r="K30" s="10"/>
      <x:c r="L30" s="10"/>
      <x:c r="M30" s="10"/>
      <x:c r="N30" s="13"/>
      <x:c r="O30" s="10" t="str">
        <x:f>IF(L30&lt;&gt;"",L30,IF(H30="","未実施",H30))</x:f>
        <x:v>未実施</x:v>
      </x:c>
      <x:c r="P30" s="10" t="str">
        <x:v>W02。2001Pは発行処理の確認取消（2001P-40）と区別。3001P／3005Pは同一ZIPの取得取消であり、帳票別の保存ダイアログはない。</x:v>
      </x:c>
    </x:row>
    <x:row r="31" ht="148" customHeight="1">
      <x:c r="A31" s="10" t="str">
        <x:v>1002P-3</x:v>
      </x:c>
      <x:c r="B31" s="10" t="str">
        <x:v>帳票レイアウト</x:v>
      </x:c>
      <x:c r="C31" s="10" t="str">
        <x:v>見積依頼リスト：シート名と見出し行が出力される</x:v>
      </x:c>
      <x:c r="D31" s="10" t="str">
        <x:v>【前提条件】
・1002P-1と同じ条件。</x:v>
      </x:c>
      <x:c r="E31" s="10" t="str">
        <x:v>1. メニュー(MCM0001U)で「取引先見積・契約検索」ボタンを押下し、MCM1003Uを表示する。
2. 「状態」の「依頼」にチェックを入れ、「検索」ボタンを押下する。
3. 「依頼一覧出力」ボタンを押下する。
4. 取得したファイルを手動で開いたExcelで、シート名と1行目を確認する。
5. 共通手順W01に従い対象ファイルを取得し、Excelで開いて本ケースの期待結果を確認する。異常系はファイルが取得されないことを確認する。</x:v>
      </x:c>
      <x:c r="F31" s="10" t="str">
        <x:v>シート名は「見積依頼リスト」。A〜Kの11見出しは「依頼NO」「保守時間帯」「状態」「契約NO」「取引先名」「納入先」「サポートID」「プラント名」「回答期日」「依頼日」「依頼者」。各見出し直下に対応する値を表示する。</x:v>
      </x:c>
      <x:c r="G31" s="10" t="str">
        <x:v>－</x:v>
      </x:c>
      <x:c r="H31" s="10"/>
      <x:c r="I31" s="10"/>
      <x:c r="J31" s="13"/>
      <x:c r="K31" s="10"/>
      <x:c r="L31" s="10"/>
      <x:c r="M31" s="10"/>
      <x:c r="N31" s="13"/>
      <x:c r="O31" s="10" t="str">
        <x:f>IF(L31&lt;&gt;"",L31,IF(H31="","未実施",H31))</x:f>
        <x:v>未実施</x:v>
      </x:c>
      <x:c r="P31" s="10" t="str">
        <x:v>F02：現行Web原紙は10見出し、出力データは11列。契約NOを含めて見出し・データ・日付書式を整合させる。</x:v>
      </x:c>
    </x:row>
    <x:row r="32" ht="190" customHeight="1">
      <x:c r="A32" s="10" t="str">
        <x:v>1002P-4</x:v>
      </x:c>
      <x:c r="B32" s="10" t="str">
        <x:v>一覧出力</x:v>
      </x:c>
      <x:c r="C32" s="10" t="str">
        <x:v>見積依頼リスト：検索結果が1件の場合、画面の値が1行で出力される（下限）</x:v>
      </x:c>
      <x:c r="D32" s="10" t="str">
        <x:v>【前提条件】
・状態が「契約」で、契約NOが設定済みの取引先見積依頼が1件だけ、検索条件で絞り込める（例：見積依頼NOを指定して検索する）。</x:v>
      </x:c>
      <x:c r="E32" s="10" t="str">
        <x:v>1. メニュー(MCM0001U)で「取引先見積・契約検索」ボタンを押下し、MCM1003Uを表示する。
2. 対象の見積依頼NOを入力し、「検索」ボタンを押下する。
3. 一覧の1行目の値を控える。
4. 　【控え】状態＝（　）、依頼NO＝（　）、依頼日＝（　）、時間＝（　）、契約NO＝（　）、取引先名＝（　）、納入先名＝（　）、サポートID＝（　）、プラント名＝（　）
5. 「依頼一覧出力」ボタンを押下する。
6. 取得したファイルを手動で開いたExcelで、1行目の見出しの下を確認する。
7. 共通手順W01に従い対象ファイルを取得し、Excelで開いて本ケースの期待結果を確認する。異常系はファイルが取得されないことを確認する。</x:v>
      </x:c>
      <x:c r="F32" s="10" t="str">
        <x:v>1. 2行目に1行だけ出力され、3行目以降にデータがない。
2. 「依頼NO」の下に、控えた依頼NOが表示される。
3. 「保守時間帯」の下に、控えた時間と同じ数値が表示される。
4. 「状態」の下に、控えた状態が表示される。
5. 「契約NO」の下に、控えた契約NOが表示される。
6. 「取引先名」「納入先」「サポートID」「プラント名」の下に、控えた取引先名、納入先名、サポートID、プラント名が表示される。
7. 「依頼日」の下に、控えた依頼日と同じ日付が表示される。</x:v>
      </x:c>
      <x:c r="G32" s="10" t="str">
        <x:v>－</x:v>
      </x:c>
      <x:c r="H32" s="10"/>
      <x:c r="I32" s="10"/>
      <x:c r="J32" s="13"/>
      <x:c r="K32" s="10"/>
      <x:c r="L32" s="10"/>
      <x:c r="M32" s="10"/>
      <x:c r="N32" s="13"/>
      <x:c r="O32" s="10" t="str">
        <x:f>IF(L32&lt;&gt;"",L32,IF(H32="","未実施",H32))</x:f>
        <x:v>未実施</x:v>
      </x:c>
      <x:c r="P32" s="10" t="str">
        <x:v>Web根拠：Mcm1002pExcelService.java／Mcm1003uController.java。VB比較対象：Mcm1002pExcel.vb・Constant.vbと起動元画面。対応する機能条件は末尾の根拠一覧参照。</x:v>
      </x:c>
    </x:row>
    <x:row r="33" ht="204" customHeight="1">
      <x:c r="A33" s="10" t="str">
        <x:v>1002P-5</x:v>
      </x:c>
      <x:c r="B33" s="10" t="str">
        <x:v>一覧出力</x:v>
      </x:c>
      <x:c r="C33" s="10" t="str">
        <x:v>見積依頼リスト：画面に表示されない「回答期日」「依頼者」の出力</x:v>
      </x:c>
      <x:c r="D33" s="10" t="str">
        <x:v>【前提条件】
・1002P-4と同じ条件の見積依頼が1件だけ、検索条件で絞り込める。
・その見積依頼の回答希望日と依頼担当者が設定済みである。</x:v>
      </x:c>
      <x:c r="E33" s="10" t="str">
        <x:v>1. メニュー(MCM0001U)で「取引先見積・契約検索」ボタンを押下し、MCM1003Uを表示する。
2. 「依頼者」の選択肢で対象の依頼担当者を選び、見積依頼NOを入力して「検索」ボタンを押下する。
3. 回答希望日は、取引先見積依頼の登録画面（MCM1002U（機器選定の次画面） の「回答希望日」）で確認して控える。
4. 　【控え】回答期日＝（　）、依頼者＝（検索で選んだ依頼者）
5. MCM1003Uに戻り、「依頼一覧出力」ボタンを押下する。
6. 取得したファイルを手動で開いたExcelで、2行目を確認する。
7. 共通手順W01に従い対象ファイルを取得し、Excelで開いて本ケースの期待結果を確認する。異常系はファイルが取得されないことを確認する。</x:v>
      </x:c>
      <x:c r="F33" s="10" t="str">
        <x:v>1. 「回答期日」の下に、控えた回答希望日と同じ日付が表示される。
2. 「依頼者」の下に、控えた依頼者（検索で選んだ依頼者）と同じ名称が表示される。</x:v>
      </x:c>
      <x:c r="G33" s="10" t="str">
        <x:v>－</x:v>
      </x:c>
      <x:c r="H33" s="10"/>
      <x:c r="I33" s="10"/>
      <x:c r="J33" s="13"/>
      <x:c r="K33" s="10"/>
      <x:c r="L33" s="10"/>
      <x:c r="M33" s="10"/>
      <x:c r="N33" s="13"/>
      <x:c r="O33" s="10" t="str">
        <x:f>IF(L33&lt;&gt;"",L33,IF(H33="","未実施",H33))</x:f>
        <x:v>未実施</x:v>
      </x:c>
      <x:c r="P33" s="10" t="str">
        <x:v>Web根拠：Mcm1002pExcelService.java／Mcm1003uController.java。VB比較対象：Mcm1002pExcel.vb・Constant.vbと起動元画面。対応する機能条件は末尾の根拠一覧参照。</x:v>
      </x:c>
    </x:row>
    <x:row r="34" ht="176" customHeight="1">
      <x:c r="A34" s="10" t="str">
        <x:v>1002P-6</x:v>
      </x:c>
      <x:c r="B34" s="10" t="str">
        <x:v>一覧出力</x:v>
      </x:c>
      <x:c r="C34" s="10" t="str">
        <x:v>見積依頼リスト：検索結果が複数件の場合、件数分の行が出力される</x:v>
      </x:c>
      <x:c r="D34" s="10" t="str">
        <x:v>【前提条件】
・検索条件に一致する取引先見積依頼が3件以上登録されている（状態や依頼NOが互いに異なる）。</x:v>
      </x:c>
      <x:c r="E34" s="10" t="str">
        <x:v>1. メニュー(MCM0001U)で「取引先見積・契約検索」ボタンを押下し、MCM1003Uを表示する。
2. 「状態」の「依頼」「見積」にチェックを入れ、「検索」ボタンを押下する。
3. 一覧の全行について、状態、依頼NO、時間、取引先名を控える。
4. 「依頼一覧出力」ボタンを押下する。
5. 取得したファイルを手動で開いたExcelで、2行目から下を確認する。
6. 共通手順W01に従い対象ファイルを取得し、Excelで開いて本ケースの期待結果を確認する。異常系はファイルが取得されないことを確認する。</x:v>
      </x:c>
      <x:c r="F34" s="10" t="str">
        <x:v>検索結果の対象が件数分出力され、漏れ・重複・別条件の混入がない。初期順序を照合する。画面で任意に並べ替えた後の順序は追加ケース1002P-16で区別して確認する。</x:v>
      </x:c>
      <x:c r="G34" s="10" t="str">
        <x:v>－</x:v>
      </x:c>
      <x:c r="H34" s="10"/>
      <x:c r="I34" s="10"/>
      <x:c r="J34" s="13"/>
      <x:c r="K34" s="10"/>
      <x:c r="L34" s="10"/>
      <x:c r="M34" s="10"/>
      <x:c r="N34" s="13"/>
      <x:c r="O34" s="10" t="str">
        <x:f>IF(L34&lt;&gt;"",L34,IF(H34="","未実施",H34))</x:f>
        <x:v>未実施</x:v>
      </x:c>
      <x:c r="P34" s="10" t="str">
        <x:v>Web根拠：Mcm1002pExcelService.java／Mcm1003uController.java。VB比較対象：Mcm1002pExcel.vb・Constant.vbと起動元画面。対応する機能条件は末尾の根拠一覧参照。原案に推定・実機記録項目あり。判断基準は下記訂正またはQ一覧で管理。</x:v>
      </x:c>
    </x:row>
    <x:row r="35" ht="190" customHeight="1">
      <x:c r="A35" s="10" t="str">
        <x:v>1002P-7</x:v>
      </x:c>
      <x:c r="B35" s="10" t="str">
        <x:v>一覧出力</x:v>
      </x:c>
      <x:c r="C35" s="10" t="str">
        <x:v>見積依頼リスト：契約NOが未設定の行は「契約NO」が空欄で出力される</x:v>
      </x:c>
      <x:c r="D35" s="10" t="str">
        <x:v>【前提条件】
・状態が「見積」で、契約NOが未設定の取引先見積依頼が1件以上登録されている。</x:v>
      </x:c>
      <x:c r="E35" s="10" t="str">
        <x:v>1. メニュー(MCM0001U)で「取引先見積・契約検索」ボタンを押下し、MCM1003Uを表示する。
2. 「状態」の「見積」にチェックを入れ、「検索」ボタンを押下する。
3. 一覧で「契約NO」が空欄の行を選び、その行の依頼NOを控える。
4. 　【控え】依頼NO＝（　）
5. 「依頼一覧出力」ボタンを押下する。
6. 取得したファイルを手動で開いたExcelで、控えた依頼NOの行を確認する。
7. 共通手順W01に従い対象ファイルを取得し、Excelで開いて本ケースの期待結果を確認する。異常系はファイルが取得されないことを確認する。</x:v>
      </x:c>
      <x:c r="F35" s="10" t="str">
        <x:v>1. 控えた依頼NOの行の「契約NO」の下が空欄である（「0」や「null」などの文字が入っていない）。
2. 同じ行の「依頼NO」「保守時間帯」「状態」「取引先名」「納入先」「サポートID」の下には値が表示される。</x:v>
      </x:c>
      <x:c r="G35" s="10" t="str">
        <x:v>－</x:v>
      </x:c>
      <x:c r="H35" s="10"/>
      <x:c r="I35" s="10"/>
      <x:c r="J35" s="13"/>
      <x:c r="K35" s="10"/>
      <x:c r="L35" s="10"/>
      <x:c r="M35" s="10"/>
      <x:c r="N35" s="13"/>
      <x:c r="O35" s="10" t="str">
        <x:f>IF(L35&lt;&gt;"",L35,IF(H35="","未実施",H35))</x:f>
        <x:v>未実施</x:v>
      </x:c>
      <x:c r="P35" s="10" t="str">
        <x:v>Web根拠：Mcm1002pExcelService.java／Mcm1003uController.java。VB比較対象：Mcm1002pExcel.vb・Constant.vbと起動元画面。対応する機能条件は末尾の根拠一覧参照。</x:v>
      </x:c>
    </x:row>
    <x:row r="36" ht="162" customHeight="1">
      <x:c r="A36" s="10" t="str">
        <x:v>1002P-8</x:v>
      </x:c>
      <x:c r="B36" s="10" t="str">
        <x:v>一覧出力</x:v>
      </x:c>
      <x:c r="C36" s="10" t="str">
        <x:v>見積依頼リスト：プラント名が未設定の行の出力</x:v>
      </x:c>
      <x:c r="D36" s="10" t="str">
        <x:v>【前提条件】
・プラント名が未設定の取引先見積依頼が検索結果に含まれる【要確認：そのデータが存在するか】。</x:v>
      </x:c>
      <x:c r="E36" s="10" t="str">
        <x:v>1. メニュー(MCM0001U)で「取引先見積・契約検索」ボタンを押下し、MCM1003Uを表示する。
2. 「状態」にチェックを入れて「検索」ボタンを押下する。
3. 一覧で「プラント名」が空欄の行を選び、その行の依頼NOを控える。
4. 「依頼一覧出力」ボタンを押下する。
5. 取得したファイルを手動で開いたExcelで、控えた依頼NOの行を確認する。
6. 共通手順W01に従い対象ファイルを取得し、Excelで開いて本ケースの期待結果を確認する。異常系はファイルが取得されないことを確認する。</x:v>
      </x:c>
      <x:c r="F36" s="10" t="str">
        <x:v>1. 控えた依頼NOの行の「プラント名」の下が空欄である（「0」や「null」などの文字が入っていない）。
2. 同じ行の他の列（「依頼NO」「状態」「取引先名」）には値が表示される。</x:v>
      </x:c>
      <x:c r="G36" s="10" t="str">
        <x:v>－</x:v>
      </x:c>
      <x:c r="H36" s="10"/>
      <x:c r="I36" s="10"/>
      <x:c r="J36" s="13"/>
      <x:c r="K36" s="10"/>
      <x:c r="L36" s="10"/>
      <x:c r="M36" s="10"/>
      <x:c r="N36" s="13"/>
      <x:c r="O36" s="10" t="str">
        <x:f>IF(L36&lt;&gt;"",L36,IF(H36="","未実施",H36))</x:f>
        <x:v>未実施</x:v>
      </x:c>
      <x:c r="P36" s="10" t="str">
        <x:v>Web根拠：Mcm1002pExcelService.java／Mcm1003uController.java。VB比較対象：Mcm1002pExcel.vb・Constant.vbと起動元画面。対応する機能条件は末尾の根拠一覧参照。</x:v>
      </x:c>
    </x:row>
    <x:row r="37" ht="162" customHeight="1">
      <x:c r="A37" s="10" t="str">
        <x:v>1002P-9</x:v>
      </x:c>
      <x:c r="B37" s="10" t="str">
        <x:v>一覧出力</x:v>
      </x:c>
      <x:c r="C37" s="10" t="str">
        <x:v>見積依頼リスト：依頼日が未設定の行でもエラーにならず出力される</x:v>
      </x:c>
      <x:c r="D37" s="10" t="str">
        <x:v>【前提条件】
・依頼日が未設定の取引先見積依頼が検索結果に含まれる【要確認：そのデータが存在するか】。</x:v>
      </x:c>
      <x:c r="E37" s="10" t="str">
        <x:v>1. メニュー(MCM0001U)で「取引先見積・契約検索」ボタンを押下し、MCM1003Uを表示する。
2. 「状態」にチェックを入れて「検索」ボタンを押下する。
3. 一覧で「依頼日」が空欄の行を選び、その行の依頼NOを控える。
4. 「依頼一覧出力」ボタンを押下する。
5. 取得したファイルを手動で開いたExcelで、控えた依頼NOの行を確認する。
6. 共通手順W01に従い対象ファイルを取得し、Excelで開いて本ケースの期待結果を確認する。異常系はファイルが取得されないことを確認する。</x:v>
      </x:c>
      <x:c r="F37" s="10" t="str">
        <x:v>1. エラーメッセージが表示されず、取得操作が表示されてファイルが作成される。
2. 控えた依頼NOの行の「依頼日」の下が空欄である。</x:v>
      </x:c>
      <x:c r="G37" s="10" t="str">
        <x:v>－</x:v>
      </x:c>
      <x:c r="H37" s="10"/>
      <x:c r="I37" s="10"/>
      <x:c r="J37" s="13"/>
      <x:c r="K37" s="10"/>
      <x:c r="L37" s="10"/>
      <x:c r="M37" s="10"/>
      <x:c r="N37" s="13"/>
      <x:c r="O37" s="10" t="str">
        <x:f>IF(L37&lt;&gt;"",L37,IF(H37="","未実施",H37))</x:f>
        <x:v>未実施</x:v>
      </x:c>
      <x:c r="P37" s="10" t="str">
        <x:v>Web根拠：Mcm1002pExcelService.java／Mcm1003uController.java。VB比較対象：Mcm1002pExcel.vb・Constant.vbと起動元画面。対応する機能条件は末尾の根拠一覧参照。</x:v>
      </x:c>
    </x:row>
    <x:row r="38" ht="176" customHeight="1">
      <x:c r="A38" s="10" t="str">
        <x:v>1002P-10</x:v>
      </x:c>
      <x:c r="B38" s="10" t="str">
        <x:v>一覧出力</x:v>
      </x:c>
      <x:c r="C38" s="10" t="str">
        <x:v>見積依頼リスト：検索で絞り込んだ結果だけが出力される</x:v>
      </x:c>
      <x:c r="D38" s="10" t="str">
        <x:v>【前提条件】
・状態が「依頼」と「見積」の取引先見積依頼が、どちらも1件以上登録されている。</x:v>
      </x:c>
      <x:c r="E38" s="10" t="str">
        <x:v>1. メニュー(MCM0001U)で「取引先見積・契約検索」ボタンを押下し、MCM1003Uを表示する。
2. 「状態」の「依頼」だけにチェックを入れ、「検索」ボタンを押下する。
3. 一覧の件数と、全行の状態が「依頼」であることを確認する。
4. 「依頼一覧出力」ボタンを押下する。
5. 取得したファイルを手動で開いたExcelで、「状態」の列を確認する。
6. 共通手順W01に従い対象ファイルを取得し、Excelで開いて本ケースの期待結果を確認する。異常系はファイルが取得されないことを確認する。</x:v>
      </x:c>
      <x:c r="F38" s="10" t="str">
        <x:v>1. Excelのデータ行数が、画面の一覧の件数と同じである。
2. Excelの「状態」の下が、すべて「依頼」である（「見積」など他の状態が含まれていない）。</x:v>
      </x:c>
      <x:c r="G38" s="10" t="str">
        <x:v>－</x:v>
      </x:c>
      <x:c r="H38" s="10"/>
      <x:c r="I38" s="10"/>
      <x:c r="J38" s="13"/>
      <x:c r="K38" s="10"/>
      <x:c r="L38" s="10"/>
      <x:c r="M38" s="10"/>
      <x:c r="N38" s="13"/>
      <x:c r="O38" s="10" t="str">
        <x:f>IF(L38&lt;&gt;"",L38,IF(H38="","未実施",H38))</x:f>
        <x:v>未実施</x:v>
      </x:c>
      <x:c r="P38" s="10" t="str">
        <x:v>Web根拠：Mcm1002pExcelService.java／Mcm1003uController.java。VB比較対象：Mcm1002pExcel.vb・Constant.vbと起動元画面。対応する機能条件は末尾の根拠一覧参照。</x:v>
      </x:c>
    </x:row>
    <x:row r="39" ht="134" customHeight="1">
      <x:c r="A39" s="10" t="str">
        <x:v>1002P-11</x:v>
      </x:c>
      <x:c r="B39" s="10" t="str">
        <x:v>一覧出力</x:v>
      </x:c>
      <x:c r="C39" s="10" t="str">
        <x:v>見積依頼リスト：出力される列は11列のみで、画面の他の列は出力されない</x:v>
      </x:c>
      <x:c r="D39" s="10" t="str">
        <x:v>【前提条件】
・1002P-4と同じ条件の見積依頼が1件以上ある。</x:v>
      </x:c>
      <x:c r="E39" s="10" t="str">
        <x:v>1. メニュー(MCM0001U)で「取引先見積・契約検索」ボタンを押下し、MCM1003Uを表示する。
2. 「状態」にチェックを入れて「検索」ボタンを押下する。
3. 「依頼一覧出力」ボタンを押下する。
4. 取得したファイルを手動で開いたExcelで、L列より右に値がないことを確認する。
5. 共通手順W01に従い対象ファイルを取得し、Excelで開いて本ケースの期待結果を確認する。異常系はファイルが取得されないことを確認する。</x:v>
      </x:c>
      <x:c r="F39" s="10" t="str">
        <x:v>1. A列からK列（11列）にだけ値が表示される。
2. L列より右に、「承認」「不正」「旧納入先名」「納入先工場名」「保守方法」などの値が表示されていない。</x:v>
      </x:c>
      <x:c r="G39" s="10" t="str">
        <x:v>－</x:v>
      </x:c>
      <x:c r="H39" s="10"/>
      <x:c r="I39" s="10"/>
      <x:c r="J39" s="13"/>
      <x:c r="K39" s="10"/>
      <x:c r="L39" s="10"/>
      <x:c r="M39" s="10"/>
      <x:c r="N39" s="13"/>
      <x:c r="O39" s="10" t="str">
        <x:f>IF(L39&lt;&gt;"",L39,IF(H39="","未実施",H39))</x:f>
        <x:v>未実施</x:v>
      </x:c>
      <x:c r="P39" s="10" t="str">
        <x:v>Web根拠：Mcm1002pExcelService.java／Mcm1003uController.java。VB比較対象：Mcm1002pExcel.vb・Constant.vbと起動元画面。対応する機能条件は末尾の根拠一覧参照。</x:v>
      </x:c>
    </x:row>
    <x:row r="40" ht="162" customHeight="1">
      <x:c r="A40" s="10" t="str">
        <x:v>1002P-12</x:v>
      </x:c>
      <x:c r="B40" s="10" t="str">
        <x:v>一覧出力</x:v>
      </x:c>
      <x:c r="C40" s="10" t="str">
        <x:v>見積依頼リスト：検索結果が多数件の場合も全件出力される</x:v>
      </x:c>
      <x:c r="D40" s="10" t="str">
        <x:v>【前提条件】
・検索結果が50件以上になる取引先見積依頼が登録されている。</x:v>
      </x:c>
      <x:c r="E40" s="10" t="str">
        <x:v>1. メニュー(MCM0001U)で「取引先見積・契約検索」ボタンを押下し、MCM1003Uを表示する。
2. 「状態」の全てにチェックを入れ、「検索」ボタンを押下する。
3. 一覧の件数を控える。
4. 「依頼一覧出力」ボタンを押下する。
5. 取得したファイルを手動で開いたExcelで、データ行数を確認する。
6. 共通手順W01に従い対象ファイルを取得し、Excelで開いて本ケースの期待結果を確認する。異常系はファイルが取得されないことを確認する。</x:v>
      </x:c>
      <x:c r="F40" s="10" t="str">
        <x:v>検索対象が全件出力される。先頭・中間・末尾の依頼NOを控えた検索結果と照合し、総行数・重複・欠落を確認する。表示並べ替え時の順序は1002P-16で別に確認する。</x:v>
      </x:c>
      <x:c r="G40" s="10" t="str">
        <x:v>－</x:v>
      </x:c>
      <x:c r="H40" s="10"/>
      <x:c r="I40" s="10"/>
      <x:c r="J40" s="13"/>
      <x:c r="K40" s="10"/>
      <x:c r="L40" s="10"/>
      <x:c r="M40" s="10"/>
      <x:c r="N40" s="13"/>
      <x:c r="O40" s="10" t="str">
        <x:f>IF(L40&lt;&gt;"",L40,IF(H40="","未実施",H40))</x:f>
        <x:v>未実施</x:v>
      </x:c>
      <x:c r="P40" s="10" t="str">
        <x:v>Web根拠：Mcm1002pExcelService.java／Mcm1003uController.java。VB比較対象：Mcm1002pExcel.vb・Constant.vbと起動元画面。対応する機能条件は末尾の根拠一覧参照。</x:v>
      </x:c>
    </x:row>
    <x:row r="41" ht="134" customHeight="1">
      <x:c r="A41" s="10" t="str">
        <x:v>1002P-13</x:v>
      </x:c>
      <x:c r="B41" s="10" t="str">
        <x:v>書式</x:v>
      </x:c>
      <x:c r="C41" s="10" t="str">
        <x:v>見積依頼リスト：データの罫線が件数に合わせて付く</x:v>
      </x:c>
      <x:c r="D41" s="10" t="str">
        <x:v>【前提条件】
・検索結果が3件以上になる取引先見積依頼が登録されている。</x:v>
      </x:c>
      <x:c r="E41" s="10" t="str">
        <x:v>1. メニュー(MCM0001U)で「取引先見積・契約検索」ボタンを押下し、MCM1003Uを表示する。
2. 「状態」にチェックを入れて「検索」ボタンを押下する。
3. 「依頼一覧出力」ボタンを押下する。
4. 取得したファイルを手動で開いたExcelで、データの最終行付近の枠線を確認する。
5. 共通手順W01に従い対象ファイルを取得し、Excelで開いて本ケースの期待結果を確認する。異常系はファイルが取得されないことを確認する。</x:v>
      </x:c>
      <x:c r="F41" s="10" t="str">
        <x:v>1. データの最終行まで、A列からK列の各列の枠線が途切れずに付いている。
2. データの最終行の下の行に、データとしての枠線が付いていない。</x:v>
      </x:c>
      <x:c r="G41" s="10" t="str">
        <x:v>－</x:v>
      </x:c>
      <x:c r="H41" s="10"/>
      <x:c r="I41" s="10"/>
      <x:c r="J41" s="13"/>
      <x:c r="K41" s="10"/>
      <x:c r="L41" s="10"/>
      <x:c r="M41" s="10"/>
      <x:c r="N41" s="13"/>
      <x:c r="O41" s="10" t="str">
        <x:f>IF(L41&lt;&gt;"",L41,IF(H41="","未実施",H41))</x:f>
        <x:v>未実施</x:v>
      </x:c>
      <x:c r="P41" s="10" t="str">
        <x:v>Web根拠：Mcm1002pExcelService.java／Mcm1003uController.java。VB比較対象：Mcm1002pExcel.vb・Constant.vbと起動元画面。対応する機能条件は末尾の根拠一覧参照。</x:v>
      </x:c>
    </x:row>
    <x:row r="42" ht="64" customHeight="1">
      <x:c r="A42" s="10" t="str">
        <x:v>1002P-14</x:v>
      </x:c>
      <x:c r="B42" s="10" t="str">
        <x:v>0件</x:v>
      </x:c>
      <x:c r="C42" s="10" t="str">
        <x:v>見積依頼リスト：検索結果が0件のときに「依頼一覧出力」を押下した場合</x:v>
      </x:c>
      <x:c r="D42" s="10" t="str">
        <x:v>【前提条件】
・MCM1003Uを表示した直後で、一覧に行が表示されていない（検索を実行していない）。</x:v>
      </x:c>
      <x:c r="E42" s="10" t="str">
        <x:v>1. 初期表示で未検索の状態で出力する。
2. 検索結果0件の条件で検索し、再度出力する。
3. 両方で通知・ダウンロード履歴を確認する。</x:v>
      </x:c>
      <x:c r="F42" s="10" t="str">
        <x:v>「検索結果が1件も存在しません。」を通知して終了する。見出しだけの帳票もダウンロードしない。通知後に別の出力エラーが連続しない。</x:v>
      </x:c>
      <x:c r="G42" s="10" t="str">
        <x:v>検索結果が1件も存在しません。</x:v>
      </x:c>
      <x:c r="H42" s="10"/>
      <x:c r="I42" s="10"/>
      <x:c r="J42" s="13"/>
      <x:c r="K42" s="10"/>
      <x:c r="L42" s="10"/>
      <x:c r="M42" s="10"/>
      <x:c r="N42" s="13"/>
      <x:c r="O42" s="10" t="str">
        <x:f>IF(L42&lt;&gt;"",L42,IF(H42="","未実施",H42))</x:f>
        <x:v>未実施</x:v>
      </x:c>
      <x:c r="P42" s="10" t="str">
        <x:v>VB共通CPCoreUserControl.DisplayMessageは末尾Eの通知でCPInputCheckExceptionを送出する。Returnの有無だけによる原案の継続推定は誤り。WebはControllerの対象0件ガードを確認。</x:v>
      </x:c>
    </x:row>
    <x:row r="43" ht="148" customHeight="1">
      <x:c r="A43" s="10" t="str">
        <x:v>1002P-15</x:v>
      </x:c>
      <x:c r="B43" s="10" t="str">
        <x:v>権限</x:v>
      </x:c>
      <x:c r="C43" s="10" t="str">
        <x:v>MCM1003U(取引先見積・契約一覧)：参照のみ権限のユーザーでは「依頼一覧出力」が押下できない</x:v>
      </x:c>
      <x:c r="D43" s="10" t="str">
        <x:v>【前提条件】
・ログインユーザーの「取引先見積・契約検索」の画面権限が「参照」である。【要確認：参照権限のユーザーの用意】
・状態が「依頼」の取引先見積依頼が1件以上登録されている。</x:v>
      </x:c>
      <x:c r="E43" s="10" t="str">
        <x:v>1. メニュー(MCM0001U)で「取引先見積・契約検索」ボタンを押下し、MCM1003Uを表示する。
2. 「状態」の「依頼」にチェックを入れ、「検索」ボタンを押下する。
3. 「依頼一覧出力」ボタンの状態（押下できるか、グレー表示か）を確認する。
4. ボタンを押下してみる。
5. 共通手順W01に従い対象ファイルを取得し、Excelで開いて本ケースの期待結果を確認する。異常系はファイルが取得されないことを確認する。</x:v>
      </x:c>
      <x:c r="F43" s="10" t="str">
        <x:v>1. 「依頼一覧出力」ボタンが非活性（グレー表示）である。
2. ボタンを押下しても帳票がダウンロードされない。</x:v>
      </x:c>
      <x:c r="G43" s="10" t="str">
        <x:v>－</x:v>
      </x:c>
      <x:c r="H43" s="10"/>
      <x:c r="I43" s="10"/>
      <x:c r="J43" s="13"/>
      <x:c r="K43" s="10"/>
      <x:c r="L43" s="10"/>
      <x:c r="M43" s="10"/>
      <x:c r="N43" s="13"/>
      <x:c r="O43" s="10" t="str">
        <x:f>IF(L43&lt;&gt;"",L43,IF(H43="","未実施",H43))</x:f>
        <x:v>未実施</x:v>
      </x:c>
      <x:c r="P43" s="10" t="str">
        <x:v>Web根拠：Mcm1002pExcelService.java／Mcm1003uController.java。VB比較対象：Mcm1002pExcel.vb・Constant.vbと起動元画面。対応する機能条件は末尾の根拠一覧参照。</x:v>
      </x:c>
    </x:row>
    <x:row r="44" ht="45" customHeight="1">
      <x:c r="A44" s="10" t="str">
        <x:v>1002P-16</x:v>
      </x:c>
      <x:c r="B44" s="10" t="str">
        <x:v>追加／境界</x:v>
      </x:c>
      <x:c r="C44" s="10" t="str">
        <x:v>画面の並べ替え後の取得順序</x:v>
      </x:c>
      <x:c r="D44" s="10" t="str">
        <x:v>検索3件以上、依頼NO順と納入先名順が異なる。</x:v>
      </x:c>
      <x:c r="E44" s="10" t="str">
        <x:v>画面で列の並べ替えが可能なら並べ替えて出力。</x:v>
      </x:c>
      <x:c r="F44" s="10" t="str">
        <x:v>表示順と出力順を照合する。表示順出力を期待する原案との相違はF04として記録。並べ替え機能がない画面で架空の操作を要求しない。</x:v>
      </x:c>
      <x:c r="G44" s="10" t="str">
        <x:v>－</x:v>
      </x:c>
      <x:c r="H44" s="10"/>
      <x:c r="I44" s="10"/>
      <x:c r="J44" s="13"/>
      <x:c r="K44" s="10"/>
      <x:c r="L44" s="10"/>
      <x:c r="M44" s="10"/>
      <x:c r="N44" s="13"/>
      <x:c r="O44" s="10" t="str">
        <x:f>IF(L44&lt;&gt;"",L44,IF(H44="","未実施",H44))</x:f>
        <x:v>未実施</x:v>
      </x:c>
      <x:c r="P44" s="10" t="str">
        <x:v>追加観点。Web根拠一覧参照。</x:v>
      </x:c>
    </x:row>
    <x:row r="45" ht="45" customHeight="1">
      <x:c r="A45" s="10" t="str">
        <x:v>1002P-17</x:v>
      </x:c>
      <x:c r="B45" s="10" t="str">
        <x:v>追加／境界</x:v>
      </x:c>
      <x:c r="C45" s="10" t="str">
        <x:v>見出し追加後の日付・文字書式の対応</x:v>
      </x:c>
      <x:c r="D45" s="10" t="str">
        <x:v>契約NOあり・先頭0のサポートID・回答期日・依頼日を持つ行を準備。</x:v>
      </x:c>
      <x:c r="E45" s="10" t="str">
        <x:v>取得ブックのD〜Kを確認。</x:v>
      </x:c>
      <x:c r="F45" s="10" t="str">
        <x:v>契約NOはD、サポートIDはG、回答期日はI、依頼日はJ。列挿入後に書式がずれず、ID先頭0と正しい日付を保持する。</x:v>
      </x:c>
      <x:c r="G45" s="10" t="str">
        <x:v>－</x:v>
      </x:c>
      <x:c r="H45" s="10"/>
      <x:c r="I45" s="10"/>
      <x:c r="J45" s="13"/>
      <x:c r="K45" s="10"/>
      <x:c r="L45" s="10"/>
      <x:c r="M45" s="10"/>
      <x:c r="N45" s="13"/>
      <x:c r="O45" s="10" t="str">
        <x:f>IF(L45&lt;&gt;"",L45,IF(H45="","未実施",H45))</x:f>
        <x:v>未実施</x:v>
      </x:c>
      <x:c r="P45" s="10" t="str">
        <x:v>F02の書式ずれを内容の見出しずれと区別する。</x:v>
      </x:c>
    </x:row>
  </x:sheetData>
  <x:mergeCells>
    <x:mergeCell ref="A1:P1"/>
    <x:mergeCell ref="A3:C3"/>
    <x:mergeCell ref="D3:P3"/>
    <x:mergeCell ref="A4:C4"/>
    <x:mergeCell ref="D4:P4"/>
    <x:mergeCell ref="A6:P6"/>
    <x:mergeCell ref="A7:C7"/>
    <x:mergeCell ref="D7:P7"/>
    <x:mergeCell ref="A8:C8"/>
    <x:mergeCell ref="D8:P8"/>
    <x:mergeCell ref="A9:C9"/>
    <x:mergeCell ref="D9:P9"/>
    <x:mergeCell ref="A10:C10"/>
    <x:mergeCell ref="D10:P10"/>
    <x:mergeCell ref="A14:P14"/>
    <x:mergeCell ref="A16:C16"/>
    <x:mergeCell ref="D16:P16"/>
    <x:mergeCell ref="A17:C17"/>
    <x:mergeCell ref="D17:P17"/>
    <x:mergeCell ref="A18:C18"/>
    <x:mergeCell ref="D18:P18"/>
    <x:mergeCell ref="A20:C20"/>
    <x:mergeCell ref="D20:P20"/>
    <x:mergeCell ref="A26:P26"/>
  </x:mergeCells>
  <x:dataValidations count="2">
    <x:dataValidation type="list" sqref="H29:H45">
      <x:formula1>"未実施,OK,NG,保留,対象外"</x:formula1>
    </x:dataValidation>
    <x:dataValidation type="list" sqref="L29:L45">
      <x:formula1>"未実施,OK,NG,保留,対象外"</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pane ySplit="27" topLeftCell="A28" activePane="bottomLeft" state="frozen"/>
    </x:sheetView>
  </x:sheetViews>
  <x:sheetFormatPr defaultRowHeight="15"/>
  <x:cols>
    <x:col min="1" max="1" width="13" hidden="0" customWidth="1"/>
    <x:col min="2" max="2" width="14" hidden="0" customWidth="1"/>
    <x:col min="3" max="3" width="44" hidden="0" customWidth="1"/>
    <x:col min="4" max="4" width="52" hidden="0" customWidth="1"/>
    <x:col min="5" max="5" width="60" hidden="0" customWidth="1"/>
    <x:col min="6" max="6" width="64" hidden="0" customWidth="1"/>
    <x:col min="7" max="7" width="40" hidden="0" customWidth="1"/>
    <x:col min="8" max="8" width="12" hidden="0" customWidth="1"/>
    <x:col min="9" max="9" width="14" hidden="0" customWidth="1"/>
    <x:col min="10" max="10" width="15" hidden="0" customWidth="1"/>
    <x:col min="11" max="11" width="40" hidden="0" customWidth="1"/>
    <x:col min="12" max="12" width="14" hidden="0" customWidth="1"/>
    <x:col min="13" max="13" width="17" hidden="0" customWidth="1"/>
    <x:col min="14" max="14" width="17" hidden="0" customWidth="1"/>
    <x:col min="15" max="15" width="13" hidden="0" customWidth="1"/>
    <x:col min="16" max="16" width="54" hidden="0" customWidth="1"/>
  </x:cols>
  <x:sheetData>
    <x:row r="1" ht="26" customHeight="1">
      <x:c r="A1" s="4" t="str">
        <x:v>MCM1003P_契約手続依頼書 単体テスト仕様書</x:v>
      </x:c>
      <x:c r="B1" s="4"/>
      <x:c r="C1" s="4"/>
      <x:c r="D1" s="4"/>
      <x:c r="E1" s="4"/>
      <x:c r="F1" s="4"/>
      <x:c r="G1" s="4"/>
      <x:c r="H1" s="4"/>
      <x:c r="I1" s="4"/>
      <x:c r="J1" s="4"/>
      <x:c r="K1" s="4"/>
      <x:c r="L1" s="4"/>
      <x:c r="M1" s="4"/>
      <x:c r="N1" s="4"/>
      <x:c r="O1" s="4"/>
      <x:c r="P1" s="4"/>
    </x:row>
    <x:row r="2">
      <x:c r="A2" s="3"/>
      <x:c r="B2" s="3"/>
      <x:c r="C2" s="3"/>
      <x:c r="D2" s="3"/>
      <x:c r="E2" s="3"/>
      <x:c r="F2" s="3"/>
      <x:c r="G2" s="3"/>
      <x:c r="H2" s="3"/>
      <x:c r="I2" s="3"/>
      <x:c r="J2" s="3"/>
      <x:c r="K2" s="3"/>
      <x:c r="L2" s="3"/>
      <x:c r="M2" s="3"/>
      <x:c r="N2" s="3"/>
      <x:c r="O2" s="3"/>
      <x:c r="P2" s="3"/>
    </x:row>
    <x:row r="3" ht="34" customHeight="1">
      <x:c r="A3" s="3" t="str">
        <x:v>画面情報</x:v>
      </x:c>
      <x:c r="B3" s="3"/>
      <x:c r="C3" s="3"/>
      <x:c r="D3" s="3" t="str">
        <x:v>起点：取引先契約内容（MCM1005U）で対象期間を選択し「契約発行」。</x:v>
      </x:c>
      <x:c r="E3" s="3"/>
      <x:c r="F3" s="3"/>
      <x:c r="G3" s="3"/>
      <x:c r="H3" s="3"/>
      <x:c r="I3" s="3"/>
      <x:c r="J3" s="3"/>
      <x:c r="K3" s="3"/>
      <x:c r="L3" s="3"/>
      <x:c r="M3" s="3"/>
      <x:c r="N3" s="3"/>
      <x:c r="O3" s="3"/>
      <x:c r="P3" s="3"/>
    </x:row>
    <x:row r="4" ht="48" customHeight="1">
      <x:c r="A4" s="3" t="str">
        <x:v>出力形式・名称</x:v>
      </x:c>
      <x:c r="B4" s="3"/>
      <x:c r="C4" s="3"/>
      <x:c r="D4" s="3" t="str">
        <x:v>取得形式／名前：契約手続依頼書.xls。共通W01〜W06も実施する。</x:v>
      </x:c>
      <x:c r="E4" s="3"/>
      <x:c r="F4" s="3"/>
      <x:c r="G4" s="3"/>
      <x:c r="H4" s="3"/>
      <x:c r="I4" s="3"/>
      <x:c r="J4" s="3"/>
      <x:c r="K4" s="3"/>
      <x:c r="L4" s="3"/>
      <x:c r="M4" s="3"/>
      <x:c r="N4" s="3"/>
      <x:c r="O4" s="3"/>
      <x:c r="P4" s="3"/>
    </x:row>
    <x:row r="5">
      <x:c r="A5" s="3"/>
      <x:c r="B5" s="3"/>
      <x:c r="C5" s="3"/>
      <x:c r="D5" s="3"/>
      <x:c r="E5" s="3"/>
      <x:c r="F5" s="3"/>
      <x:c r="G5" s="3"/>
      <x:c r="H5" s="3"/>
      <x:c r="I5" s="3"/>
      <x:c r="J5" s="3"/>
      <x:c r="K5" s="3"/>
      <x:c r="L5" s="3"/>
      <x:c r="M5" s="3"/>
      <x:c r="N5" s="3"/>
      <x:c r="O5" s="3"/>
      <x:c r="P5" s="3"/>
    </x:row>
    <x:row r="6">
      <x:c r="A6" s="6" t="str">
        <x:v>根拠ソース</x:v>
      </x:c>
      <x:c r="B6" s="6" t="str">
        <x:v>根拠ソース</x:v>
      </x:c>
      <x:c r="C6" s="6" t="str">
        <x:v>根拠ソース</x:v>
      </x:c>
      <x:c r="D6" s="6" t="str">
        <x:v>根拠ソース</x:v>
      </x:c>
      <x:c r="E6" s="6" t="str">
        <x:v>根拠ソース</x:v>
      </x:c>
      <x:c r="F6" s="6" t="str">
        <x:v>根拠ソース</x:v>
      </x:c>
      <x:c r="G6" s="6" t="str">
        <x:v>根拠ソース</x:v>
      </x:c>
      <x:c r="H6" s="6" t="str">
        <x:v>根拠ソース</x:v>
      </x:c>
      <x:c r="I6" s="6" t="str">
        <x:v>根拠ソース</x:v>
      </x:c>
      <x:c r="J6" s="6" t="str">
        <x:v>根拠ソース</x:v>
      </x:c>
      <x:c r="K6" s="6" t="str">
        <x:v>根拠ソース</x:v>
      </x:c>
      <x:c r="L6" s="6" t="str">
        <x:v>根拠ソース</x:v>
      </x:c>
      <x:c r="M6" s="6" t="str">
        <x:v>根拠ソース</x:v>
      </x:c>
      <x:c r="N6" s="6" t="str">
        <x:v>根拠ソース</x:v>
      </x:c>
      <x:c r="O6" s="6" t="str">
        <x:v>根拠ソース</x:v>
      </x:c>
      <x:c r="P6" s="6" t="str">
        <x:v>根拠ソース</x:v>
      </x:c>
    </x:row>
    <x:row r="7" ht="26" customHeight="1">
      <x:c r="A7" s="3" t="str">
        <x:v>VB版</x:v>
      </x:c>
      <x:c r="B7" s="3"/>
      <x:c r="C7" s="3"/>
      <x:c r="D7" s="3" t="str">
        <x:v>帳票のExcel.vb・Constant.vb／起動元イベント。既知不具合は再現を合格にしない。</x:v>
      </x:c>
      <x:c r="E7" s="3"/>
      <x:c r="F7" s="3"/>
      <x:c r="G7" s="3"/>
      <x:c r="H7" s="3"/>
      <x:c r="I7" s="3"/>
      <x:c r="J7" s="3"/>
      <x:c r="K7" s="3"/>
      <x:c r="L7" s="3"/>
      <x:c r="M7" s="3"/>
      <x:c r="N7" s="3"/>
      <x:c r="O7" s="3"/>
      <x:c r="P7" s="3"/>
    </x:row>
    <x:row r="8" ht="26" customHeight="1">
      <x:c r="A8" s="3" t="str">
        <x:v>Java版</x:v>
      </x:c>
      <x:c r="B8" s="3"/>
      <x:c r="C8" s="3"/>
      <x:c r="D8" s="3" t="str">
        <x:v>最新Webの帳票Service・起動元Controller。本文の備考／根拠欄とMD末尾を参照。</x:v>
      </x:c>
      <x:c r="E8" s="3"/>
      <x:c r="F8" s="3"/>
      <x:c r="G8" s="3"/>
      <x:c r="H8" s="3"/>
      <x:c r="I8" s="3"/>
      <x:c r="J8" s="3"/>
      <x:c r="K8" s="3"/>
      <x:c r="L8" s="3"/>
      <x:c r="M8" s="3"/>
      <x:c r="N8" s="3"/>
      <x:c r="O8" s="3"/>
      <x:c r="P8" s="3"/>
    </x:row>
    <x:row r="9" ht="26" customHeight="1">
      <x:c r="A9" s="3" t="str">
        <x:v>メッセージ</x:v>
      </x:c>
      <x:c r="B9" s="3"/>
      <x:c r="C9" s="3"/>
      <x:c r="D9" s="3" t="str">
        <x:v>Web画面の通知で判断。VBのネイティブダイアログ・Excel自動起動を要求しない。</x:v>
      </x:c>
      <x:c r="E9" s="3"/>
      <x:c r="F9" s="3"/>
      <x:c r="G9" s="3"/>
      <x:c r="H9" s="3"/>
      <x:c r="I9" s="3"/>
      <x:c r="J9" s="3"/>
      <x:c r="K9" s="3"/>
      <x:c r="L9" s="3"/>
      <x:c r="M9" s="3"/>
      <x:c r="N9" s="3"/>
      <x:c r="O9" s="3"/>
      <x:c r="P9" s="3"/>
    </x:row>
    <x:row r="10" ht="26" customHeight="1">
      <x:c r="A10" s="3" t="str">
        <x:v>参照資料</x:v>
      </x:c>
      <x:c r="B10" s="3"/>
      <x:c r="C10" s="3"/>
      <x:c r="D10" s="3" t="str">
        <x:v>同梱MDの共通確認・F01〜F04・Q01〜Q06。正式な実機確認結果はこれから記入する。</x:v>
      </x:c>
      <x:c r="E10" s="3"/>
      <x:c r="F10" s="3"/>
      <x:c r="G10" s="3"/>
      <x:c r="H10" s="3"/>
      <x:c r="I10" s="3"/>
      <x:c r="J10" s="3"/>
      <x:c r="K10" s="3"/>
      <x:c r="L10" s="3"/>
      <x:c r="M10" s="3"/>
      <x:c r="N10" s="3"/>
      <x:c r="O10" s="3"/>
      <x:c r="P10" s="3"/>
    </x:row>
    <x:row r="11">
      <x:c r="A11" s="3"/>
      <x:c r="B11" s="3"/>
      <x:c r="C11" s="3"/>
      <x:c r="D11" s="3"/>
      <x:c r="E11" s="3"/>
      <x:c r="F11" s="3"/>
      <x:c r="G11" s="3"/>
      <x:c r="H11" s="3"/>
      <x:c r="I11" s="3"/>
      <x:c r="J11" s="3"/>
      <x:c r="K11" s="3"/>
      <x:c r="L11" s="3"/>
      <x:c r="M11" s="3"/>
      <x:c r="N11" s="3"/>
      <x:c r="O11" s="3"/>
      <x:c r="P11" s="3"/>
    </x:row>
    <x:row r="12">
      <x:c r="A12" s="3"/>
      <x:c r="B12" s="3"/>
      <x:c r="C12" s="3"/>
      <x:c r="D12" s="3"/>
      <x:c r="E12" s="3"/>
      <x:c r="F12" s="3"/>
      <x:c r="G12" s="3"/>
      <x:c r="H12" s="3"/>
      <x:c r="I12" s="3"/>
      <x:c r="J12" s="3"/>
      <x:c r="K12" s="3"/>
      <x:c r="L12" s="3"/>
      <x:c r="M12" s="3"/>
      <x:c r="N12" s="3"/>
      <x:c r="O12" s="3"/>
      <x:c r="P12" s="3"/>
    </x:row>
    <x:row r="13">
      <x:c r="A13" s="3"/>
      <x:c r="B13" s="3"/>
      <x:c r="C13" s="3"/>
      <x:c r="D13" s="3"/>
      <x:c r="E13" s="3"/>
      <x:c r="F13" s="3"/>
      <x:c r="G13" s="3"/>
      <x:c r="H13" s="3"/>
      <x:c r="I13" s="3"/>
      <x:c r="J13" s="3"/>
      <x:c r="K13" s="3"/>
      <x:c r="L13" s="3"/>
      <x:c r="M13" s="3"/>
      <x:c r="N13" s="3"/>
      <x:c r="O13" s="3"/>
      <x:c r="P13" s="3"/>
    </x:row>
    <x:row r="14">
      <x:c r="A14" s="6" t="str">
        <x:v>機能一覧</x:v>
      </x:c>
      <x:c r="B14" s="6" t="str">
        <x:v>機能一覧</x:v>
      </x:c>
      <x:c r="C14" s="6" t="str">
        <x:v>機能一覧</x:v>
      </x:c>
      <x:c r="D14" s="6" t="str">
        <x:v>機能一覧</x:v>
      </x:c>
      <x:c r="E14" s="6" t="str">
        <x:v>機能一覧</x:v>
      </x:c>
      <x:c r="F14" s="6" t="str">
        <x:v>機能一覧</x:v>
      </x:c>
      <x:c r="G14" s="6" t="str">
        <x:v>機能一覧</x:v>
      </x:c>
      <x:c r="H14" s="6" t="str">
        <x:v>機能一覧</x:v>
      </x:c>
      <x:c r="I14" s="6" t="str">
        <x:v>機能一覧</x:v>
      </x:c>
      <x:c r="J14" s="6" t="str">
        <x:v>機能一覧</x:v>
      </x:c>
      <x:c r="K14" s="6" t="str">
        <x:v>機能一覧</x:v>
      </x:c>
      <x:c r="L14" s="6" t="str">
        <x:v>機能一覧</x:v>
      </x:c>
      <x:c r="M14" s="6" t="str">
        <x:v>機能一覧</x:v>
      </x:c>
      <x:c r="N14" s="6" t="str">
        <x:v>機能一覧</x:v>
      </x:c>
      <x:c r="O14" s="6" t="str">
        <x:v>機能一覧</x:v>
      </x:c>
      <x:c r="P14" s="6" t="str">
        <x:v>機能一覧</x:v>
      </x:c>
    </x:row>
    <x:row r="15">
      <x:c r="A15" s="3"/>
      <x:c r="B15" s="3"/>
      <x:c r="C15" s="3"/>
      <x:c r="D15" s="3"/>
      <x:c r="E15" s="3"/>
      <x:c r="F15" s="3"/>
      <x:c r="G15" s="3"/>
      <x:c r="H15" s="3"/>
      <x:c r="I15" s="3"/>
      <x:c r="J15" s="3"/>
      <x:c r="K15" s="3"/>
      <x:c r="L15" s="3"/>
      <x:c r="M15" s="3"/>
      <x:c r="N15" s="3"/>
      <x:c r="O15" s="3"/>
      <x:c r="P15" s="3"/>
    </x:row>
    <x:row r="16" ht="26" customHeight="1">
      <x:c r="A16" s="3" t="str">
        <x:v>1</x:v>
      </x:c>
      <x:c r="B16" s="3"/>
      <x:c r="C16" s="3"/>
      <x:c r="D16" s="3" t="str">
        <x:v>帳票の対象・項目・シート構成・表示書式・印刷の確認</x:v>
      </x:c>
      <x:c r="E16" s="3"/>
      <x:c r="F16" s="3"/>
      <x:c r="G16" s="3"/>
      <x:c r="H16" s="3"/>
      <x:c r="I16" s="3"/>
      <x:c r="J16" s="3"/>
      <x:c r="K16" s="3"/>
      <x:c r="L16" s="3"/>
      <x:c r="M16" s="3"/>
      <x:c r="N16" s="3"/>
      <x:c r="O16" s="3"/>
      <x:c r="P16" s="3"/>
    </x:row>
    <x:row r="17" ht="26" customHeight="1">
      <x:c r="A17" s="3" t="str">
        <x:v>2</x:v>
      </x:c>
      <x:c r="B17" s="3"/>
      <x:c r="C17" s="3"/>
      <x:c r="D17" s="3" t="str">
        <x:v>0件・入力不備・権限・失敗・境界・計算条件の確認</x:v>
      </x:c>
      <x:c r="E17" s="3"/>
      <x:c r="F17" s="3"/>
      <x:c r="G17" s="3"/>
      <x:c r="H17" s="3"/>
      <x:c r="I17" s="3"/>
      <x:c r="J17" s="3"/>
      <x:c r="K17" s="3"/>
      <x:c r="L17" s="3"/>
      <x:c r="M17" s="3"/>
      <x:c r="N17" s="3"/>
      <x:c r="O17" s="3"/>
      <x:c r="P17" s="3"/>
    </x:row>
    <x:row r="18" ht="26" customHeight="1">
      <x:c r="A18" s="3" t="str">
        <x:v>3</x:v>
      </x:c>
      <x:c r="B18" s="3"/>
      <x:c r="C18" s="3"/>
      <x:c r="D18" s="3" t="str">
        <x:v>共通確認を関連ケースで実施し、重複する取得操作は再利用</x:v>
      </x:c>
      <x:c r="E18" s="3"/>
      <x:c r="F18" s="3"/>
      <x:c r="G18" s="3"/>
      <x:c r="H18" s="3"/>
      <x:c r="I18" s="3"/>
      <x:c r="J18" s="3"/>
      <x:c r="K18" s="3"/>
      <x:c r="L18" s="3"/>
      <x:c r="M18" s="3"/>
      <x:c r="N18" s="3"/>
      <x:c r="O18" s="3"/>
      <x:c r="P18" s="3"/>
    </x:row>
    <x:row r="19">
      <x:c r="A19" s="3"/>
      <x:c r="B19" s="3"/>
      <x:c r="C19" s="3"/>
      <x:c r="D19" s="3"/>
      <x:c r="E19" s="3"/>
      <x:c r="F19" s="3"/>
      <x:c r="G19" s="3"/>
      <x:c r="H19" s="3"/>
      <x:c r="I19" s="3"/>
      <x:c r="J19" s="3"/>
      <x:c r="K19" s="3"/>
      <x:c r="L19" s="3"/>
      <x:c r="M19" s="3"/>
      <x:c r="N19" s="3"/>
      <x:c r="O19" s="3"/>
      <x:c r="P19" s="3"/>
    </x:row>
    <x:row r="20" ht="30" customHeight="1">
      <x:c r="A20" s="3" t="str">
        <x:v>分類</x:v>
      </x:c>
      <x:c r="B20" s="3"/>
      <x:c r="C20" s="3"/>
      <x:c r="D20" s="3" t="str">
        <x:v>出力起点／帳票レイアウト／区分／ヘッダー／顧客情報／契約・解約／明細／明細（更新）／ページ／担当者印／再発行／ボタン制御／権限／追加／境界</x:v>
      </x:c>
      <x:c r="E20" s="3"/>
      <x:c r="F20" s="3"/>
      <x:c r="G20" s="3"/>
      <x:c r="H20" s="3"/>
      <x:c r="I20" s="3"/>
      <x:c r="J20" s="3"/>
      <x:c r="K20" s="3"/>
      <x:c r="L20" s="3"/>
      <x:c r="M20" s="3"/>
      <x:c r="N20" s="3"/>
      <x:c r="O20" s="3"/>
      <x:c r="P20" s="3"/>
    </x:row>
    <x:row r="21">
      <x:c r="A21" s="3"/>
      <x:c r="B21" s="3"/>
      <x:c r="C21" s="3"/>
      <x:c r="D21" s="3"/>
      <x:c r="E21" s="3"/>
      <x:c r="F21" s="3"/>
      <x:c r="G21" s="3"/>
      <x:c r="H21" s="3"/>
      <x:c r="I21" s="3"/>
      <x:c r="J21" s="3"/>
      <x:c r="K21" s="3"/>
      <x:c r="L21" s="3"/>
      <x:c r="M21" s="3"/>
      <x:c r="N21" s="3"/>
      <x:c r="O21" s="3"/>
      <x:c r="P21" s="3"/>
    </x:row>
    <x:row r="22">
      <x:c r="A22" s="3"/>
      <x:c r="B22" s="3"/>
      <x:c r="C22" s="3"/>
      <x:c r="D22" s="3"/>
      <x:c r="E22" s="3"/>
      <x:c r="F22" s="3"/>
      <x:c r="G22" s="3"/>
      <x:c r="H22" s="3"/>
      <x:c r="I22" s="3"/>
      <x:c r="J22" s="3"/>
      <x:c r="K22" s="3"/>
      <x:c r="L22" s="3"/>
      <x:c r="M22" s="3"/>
      <x:c r="N22" s="3"/>
      <x:c r="O22" s="3"/>
      <x:c r="P22" s="3"/>
    </x:row>
    <x:row r="23">
      <x:c r="A23" s="3" t="str">
        <x:v>件数</x:v>
      </x:c>
      <x:c r="B23" s="3" t="n">
        <x:f>COUNTA(A29:A62)</x:f>
        <x:v>34</x:v>
      </x:c>
      <x:c r="C23" s="3" t="str">
        <x:v>OK</x:v>
      </x:c>
      <x:c r="D23" s="3" t="n">
        <x:f>COUNTIF(O29:O62,"OK")</x:f>
        <x:v>0</x:v>
      </x:c>
      <x:c r="E23" s="3" t="str">
        <x:v>NG</x:v>
      </x:c>
      <x:c r="F23" s="3" t="n">
        <x:f>COUNTIF(O29:O62,"NG")</x:f>
        <x:v>0</x:v>
      </x:c>
      <x:c r="G23" s="3" t="str">
        <x:v>未実施</x:v>
      </x:c>
      <x:c r="H23" s="3" t="n">
        <x:f>COUNTIF(O29:O62,"未実施")</x:f>
        <x:v>34</x:v>
      </x:c>
      <x:c r="I23" s="3"/>
      <x:c r="J23" s="3"/>
      <x:c r="K23" s="3"/>
      <x:c r="L23" s="3"/>
      <x:c r="M23" s="3"/>
      <x:c r="N23" s="3"/>
      <x:c r="O23" s="3"/>
      <x:c r="P23" s="3"/>
    </x:row>
    <x:row r="24">
      <x:c r="A24" s="3"/>
      <x:c r="B24" s="3"/>
      <x:c r="C24" s="3"/>
      <x:c r="D24" s="3"/>
      <x:c r="E24" s="3"/>
      <x:c r="F24" s="3"/>
      <x:c r="G24" s="3"/>
      <x:c r="H24" s="3"/>
      <x:c r="I24" s="3"/>
      <x:c r="J24" s="3"/>
      <x:c r="K24" s="3"/>
      <x:c r="L24" s="3"/>
      <x:c r="M24" s="3"/>
      <x:c r="N24" s="3"/>
      <x:c r="O24" s="3"/>
      <x:c r="P24" s="3"/>
    </x:row>
    <x:row r="25">
      <x:c r="A25" s="3"/>
      <x:c r="B25" s="3"/>
      <x:c r="C25" s="3"/>
      <x:c r="D25" s="3"/>
      <x:c r="E25" s="3"/>
      <x:c r="F25" s="3"/>
      <x:c r="G25" s="3"/>
      <x:c r="H25" s="3"/>
      <x:c r="I25" s="3"/>
      <x:c r="J25" s="3"/>
      <x:c r="K25" s="3"/>
      <x:c r="L25" s="3"/>
      <x:c r="M25" s="3"/>
      <x:c r="N25" s="3"/>
      <x:c r="O25" s="3"/>
      <x:c r="P25" s="3"/>
    </x:row>
    <x:row r="26">
      <x:c r="A26" s="6" t="str">
        <x:v>単体テストケース</x:v>
      </x:c>
      <x:c r="B26" s="6" t="str">
        <x:v>単体テストケース</x:v>
      </x:c>
      <x:c r="C26" s="6" t="str">
        <x:v>単体テストケース</x:v>
      </x:c>
      <x:c r="D26" s="6" t="str">
        <x:v>単体テストケース</x:v>
      </x:c>
      <x:c r="E26" s="6" t="str">
        <x:v>単体テストケース</x:v>
      </x:c>
      <x:c r="F26" s="6" t="str">
        <x:v>単体テストケース</x:v>
      </x:c>
      <x:c r="G26" s="6" t="str">
        <x:v>単体テストケース</x:v>
      </x:c>
      <x:c r="H26" s="6" t="str">
        <x:v>単体テストケース</x:v>
      </x:c>
      <x:c r="I26" s="6" t="str">
        <x:v>単体テストケース</x:v>
      </x:c>
      <x:c r="J26" s="6" t="str">
        <x:v>単体テストケース</x:v>
      </x:c>
      <x:c r="K26" s="6" t="str">
        <x:v>単体テストケース</x:v>
      </x:c>
      <x:c r="L26" s="6" t="str">
        <x:v>単体テストケース</x:v>
      </x:c>
      <x:c r="M26" s="6" t="str">
        <x:v>単体テストケース</x:v>
      </x:c>
      <x:c r="N26" s="6" t="str">
        <x:v>単体テストケース</x:v>
      </x:c>
      <x:c r="O26" s="6" t="str">
        <x:v>単体テストケース</x:v>
      </x:c>
      <x:c r="P26" s="6" t="str">
        <x:v>単体テストケース</x:v>
      </x:c>
    </x:row>
    <x:row r="27" ht="28" customHeight="1">
      <x:c r="A27" s="9" t="str">
        <x:v>項番</x:v>
      </x:c>
      <x:c r="B27" s="9" t="str">
        <x:v>分類</x:v>
      </x:c>
      <x:c r="C27" s="9" t="str">
        <x:v>テスト項目</x:v>
      </x:c>
      <x:c r="D27" s="9" t="str">
        <x:v>前提条件</x:v>
      </x:c>
      <x:c r="E27" s="9" t="str">
        <x:v>操作内容(入力値)</x:v>
      </x:c>
      <x:c r="F27" s="9" t="str">
        <x:v>期待結果</x:v>
      </x:c>
      <x:c r="G27" s="9" t="str">
        <x:v>期待メッセージ</x:v>
      </x:c>
      <x:c r="H27" s="9" t="str">
        <x:v>テスト結果</x:v>
      </x:c>
      <x:c r="I27" s="9" t="str">
        <x:v>実施者</x:v>
      </x:c>
      <x:c r="J27" s="9" t="str">
        <x:v>実施日</x:v>
      </x:c>
      <x:c r="K27" s="9" t="str">
        <x:v>不具合内容</x:v>
      </x:c>
      <x:c r="L27" s="9" t="str">
        <x:v>再テスト結果</x:v>
      </x:c>
      <x:c r="M27" s="9" t="str">
        <x:v>再テスト実施者</x:v>
      </x:c>
      <x:c r="N27" s="9" t="str">
        <x:v>再テスト実施日</x:v>
      </x:c>
      <x:c r="O27" s="9" t="str">
        <x:v>最終判定</x:v>
      </x:c>
      <x:c r="P27" s="9" t="str">
        <x:v>備考／根拠</x:v>
      </x:c>
    </x:row>
    <x:row r="28">
      <x:c r="A28" s="3"/>
      <x:c r="B28" s="3"/>
      <x:c r="C28" s="3"/>
      <x:c r="D28" s="3"/>
      <x:c r="E28" s="3"/>
      <x:c r="F28" s="3"/>
      <x:c r="G28" s="3"/>
      <x:c r="H28" s="3"/>
      <x:c r="I28" s="3"/>
      <x:c r="J28" s="3"/>
      <x:c r="K28" s="3"/>
      <x:c r="L28" s="3"/>
      <x:c r="M28" s="3"/>
      <x:c r="N28" s="3"/>
      <x:c r="O28" s="3"/>
      <x:c r="P28" s="3"/>
    </x:row>
    <x:row r="29" ht="78" customHeight="1">
      <x:c r="A29" s="10" t="str">
        <x:v>1003P-1</x:v>
      </x:c>
      <x:c r="B29" s="10" t="str">
        <x:v>出力起点</x:v>
      </x:c>
      <x:c r="C29" s="10" t="str">
        <x:v>契約手続依頼書：Web画面から帳票を取得する</x:v>
      </x:c>
      <x:c r="D29" s="10" t="str">
        <x:v>【前提条件】
・MCM1003U の一覧に、契約NOのリンクがある行がある。
・その契約の期間タブが1つ以上ある。</x:v>
      </x:c>
      <x:c r="E29" s="10" t="str">
        <x:v>1. 本章の前提を準備する。
2. 取引先契約内容（MCM1005U）で対象期間を選択し「契約発行」を実施する。
3. W01に従いダウンロード履歴と取得ファイル名を確認する。
4. 対象ファイルを手動で開く。</x:v>
      </x:c>
      <x:c r="F29" s="10" t="str">
        <x:v>出力対象がある正常条件で、対象帳票を取得でき、Excelで開ける。ダウンロード名：契約手続依頼書.xls。拡張子とブック形式が一致し、Excelの形式不一致警告が出ない。Excel自動起動・ネイティブ保存画面は必須ではない。</x:v>
      </x:c>
      <x:c r="G29" s="10" t="str">
        <x:v>－</x:v>
      </x:c>
      <x:c r="H29" s="10"/>
      <x:c r="I29" s="10"/>
      <x:c r="J29" s="13"/>
      <x:c r="K29" s="10"/>
      <x:c r="L29" s="10"/>
      <x:c r="M29" s="10"/>
      <x:c r="N29" s="13"/>
      <x:c r="O29" s="10" t="str">
        <x:f>IF(L29&lt;&gt;"",L29,IF(H29="","未実施",H29))</x:f>
        <x:v>未実施</x:v>
      </x:c>
      <x:c r="P29" s="10" t="str">
        <x:v>Web根拠：Mcm1003pExcelService.java／Mcm1005uController.java。VB比較対象：Mcm1003pExcel.vb・Constant.vbと起動元画面。対応する機能条件は末尾の根拠一覧参照。</x:v>
      </x:c>
    </x:row>
    <x:row r="30" ht="64" customHeight="1">
      <x:c r="A30" s="10" t="str">
        <x:v>1003P-2</x:v>
      </x:c>
      <x:c r="B30" s="10" t="str">
        <x:v>出力起点</x:v>
      </x:c>
      <x:c r="C30" s="10" t="str">
        <x:v>Web取得操作：ブラウザの保存をキャンセルする</x:v>
      </x:c>
      <x:c r="D30" s="10" t="str">
        <x:v>【前提条件】
・1003P-1と同じ。
・保存先に指定するフォルダに、契約手続依頼書のファイルがない。</x:v>
      </x:c>
      <x:c r="E30" s="10" t="str">
        <x:v>1. 本章の正常条件で出力する。
2. ブラウザ設定を「保存先を毎回確認」にし、保存をキャンセルする。
3. ダウンロード履歴・保存先・発行元の状態を確認する。</x:v>
      </x:c>
      <x:c r="F30" s="10" t="str">
        <x:v>キャンセルしたファイルが利用者PCに保存されない。Excelの自動起動は要求しない。ブラウザのキャンセルはアプリの発行取消ではなく、先に完了した登録・状態変更を戻さない。再取得の可否は各帳票の再発行条件に従う。</x:v>
      </x:c>
      <x:c r="G30" s="10" t="str">
        <x:v>－</x:v>
      </x:c>
      <x:c r="H30" s="10"/>
      <x:c r="I30" s="10"/>
      <x:c r="J30" s="13"/>
      <x:c r="K30" s="10"/>
      <x:c r="L30" s="10"/>
      <x:c r="M30" s="10"/>
      <x:c r="N30" s="13"/>
      <x:c r="O30" s="10" t="str">
        <x:f>IF(L30&lt;&gt;"",L30,IF(H30="","未実施",H30))</x:f>
        <x:v>未実施</x:v>
      </x:c>
      <x:c r="P30" s="10" t="str">
        <x:v>W02。2001Pは発行処理の確認取消（2001P-40）と区別。3001P／3005Pは同一ZIPの取得取消であり、帳票別の保存ダイアログはない。</x:v>
      </x:c>
    </x:row>
    <x:row r="31" ht="204" customHeight="1">
      <x:c r="A31" s="10" t="str">
        <x:v>1003P-3</x:v>
      </x:c>
      <x:c r="B31" s="10" t="str">
        <x:v>帳票レイアウト</x:v>
      </x:c>
      <x:c r="C31" s="10" t="str">
        <x:v>契約手続依頼書：テンプレートの見出しが印字されている</x:v>
      </x:c>
      <x:c r="D31" s="10" t="str">
        <x:v>【前提条件】
・1003P-1と同じ。</x:v>
      </x:c>
      <x:c r="E31" s="10" t="str">
        <x:v>1. 1003P-1の手順1〜2でMCM1005Uを表示する。
2. 期間タブを選択し、「契約発行」ボタンを押下する。
3. 取得したファイルを手動で開いたExcelの最初のシートの見出しを確認する。
4. 共通手順W01に従い対象ファイルを取得し、Excelで開いて本ケースの期待結果を確認する。異常系はファイルが取得されないことを確認する。</x:v>
      </x:c>
      <x:c r="F31" s="10" t="str">
        <x:v>シート上に次の見出しが印字されている。
1. 1行目：「契約手続依頼書」
2. 3〜4行目：「取引先名」「ご担当者様」
3. 顧客情報：「納入先」「住所」「電話番号」「担当部署」「担当者」「サポートID」
4. 契約：「見積金額」「支払月」「契約開始日」「見積書番号」「時間帯」「手配製番」「備考欄」
5. 解約：「契約金額」「支払月」「解約日」「契約書番号」「備考欄」「差額処理（返金）」「契約期間」「返金期間」「金額」「（備考）」
6. 明細：「（保守契約機器明細）」「No」「品名」「型式」「数量」「保守点検」「点検月」「備考」
7. 右下付近：「承認」「審査」「担当者」、最下部：「*ご捺印の上、返送願います。」</x:v>
      </x:c>
      <x:c r="G31" s="10" t="str">
        <x:v>－</x:v>
      </x:c>
      <x:c r="H31" s="10"/>
      <x:c r="I31" s="10"/>
      <x:c r="J31" s="13"/>
      <x:c r="K31" s="10"/>
      <x:c r="L31" s="10"/>
      <x:c r="M31" s="10"/>
      <x:c r="N31" s="13"/>
      <x:c r="O31" s="10" t="str">
        <x:f>IF(L31&lt;&gt;"",L31,IF(H31="","未実施",H31))</x:f>
        <x:v>未実施</x:v>
      </x:c>
      <x:c r="P31" s="10" t="str">
        <x:v>Web根拠：Mcm1003pExcelService.java／Mcm1005uController.java。VB比較対象：Mcm1003pExcel.vb・Constant.vbと起動元画面。対応する機能条件は末尾の根拠一覧参照。</x:v>
      </x:c>
    </x:row>
    <x:row r="32" ht="120" customHeight="1">
      <x:c r="A32" s="10" t="str">
        <x:v>1003P-4</x:v>
      </x:c>
      <x:c r="B32" s="10" t="str">
        <x:v>区分</x:v>
      </x:c>
      <x:c r="C32" s="10" t="str">
        <x:v>契約手続依頼書：新規契約の依頼区分が出力される</x:v>
      </x:c>
      <x:c r="D32" s="10" t="str">
        <x:v>【前提条件】
・1003P-1と同じ。
・解約日が空で、期間タブが先頭（1つ目）のタブである契約。</x:v>
      </x:c>
      <x:c r="E32" s="10" t="str">
        <x:v>1. 1003P-1の手順1〜2でMCM1005Uを表示する。
2. 1つ目の期間タブを選択し、「解約日」が空であることを確認する。
3. 取得したファイルを手動で開いたExcelの最初のシートの1行目を確認する。
4. 共通手順W01に従い対象ファイルを取得し、Excelで開いて本ケースの期待結果を確認する。異常系はファイルが取得されないことを確認する。</x:v>
      </x:c>
      <x:c r="F32" s="10" t="str">
        <x:v>1. 1行目（E1付近）に「(■新規契約 □解約 □更新)」が表示される。
2. 「契約」欄に値が出力され、「解約」欄（契約金額、支払月、解約日、契約書番号）が空欄である。
3. 「契約」欄と「解約」欄の左端のタイトルが、「新契約」「旧契約」になっていない。</x:v>
      </x:c>
      <x:c r="G32" s="10" t="str">
        <x:v>－</x:v>
      </x:c>
      <x:c r="H32" s="10"/>
      <x:c r="I32" s="10"/>
      <x:c r="J32" s="13"/>
      <x:c r="K32" s="10"/>
      <x:c r="L32" s="10"/>
      <x:c r="M32" s="10"/>
      <x:c r="N32" s="13"/>
      <x:c r="O32" s="10" t="str">
        <x:f>IF(L32&lt;&gt;"",L32,IF(H32="","未実施",H32))</x:f>
        <x:v>未実施</x:v>
      </x:c>
      <x:c r="P32" s="10" t="str">
        <x:v>Web根拠：Mcm1003pExcelService.java／Mcm1005uController.java。VB比較対象：Mcm1003pExcel.vb・Constant.vbと起動元画面。対応する機能条件は末尾の根拠一覧参照。</x:v>
      </x:c>
    </x:row>
    <x:row r="33" ht="120" customHeight="1">
      <x:c r="A33" s="10" t="str">
        <x:v>1003P-5</x:v>
      </x:c>
      <x:c r="B33" s="10" t="str">
        <x:v>区分</x:v>
      </x:c>
      <x:c r="C33" s="10" t="str">
        <x:v>契約手続依頼書：更新の依頼区分とタイトルが出力される</x:v>
      </x:c>
      <x:c r="D33" s="10" t="str">
        <x:v>【前提条件】
・1003P-1と同じ。
・解約日が空で、2つ目以降の期間タブがあり、その1つ前に有効な期間タブがある契約。</x:v>
      </x:c>
      <x:c r="E33" s="10" t="str">
        <x:v>1. 1003P-1の手順1〜2でMCM1005Uを表示する。
2. 2つ目以降の期間タブを選択し、「解約日」が空であることを確認する。
3. 取得したファイルを手動で開いたExcelの最初のシートを確認する。
4. 共通手順W01に従い対象ファイルを取得し、Excelで開いて本ケースの期待結果を確認する。異常系はファイルが取得されないことを確認する。</x:v>
      </x:c>
      <x:c r="F33" s="10" t="str">
        <x:v>1. 1行目（E1付近）に「(□新規契約 □解約 ■更新)」が表示される。
2. 「契約」欄の左端のタイトルが「新契約」、「解約」欄の左端のタイトルが「旧契約」になっている。
3. 「契約」欄（見積金額、支払月、契約開始日、見積書番号、時間帯、手配製番）と「解約」欄（契約金額、支払月、解約日、契約書番号）の両方に値が出力される（解約日と契約書番号の値は 1003P-13 で確認）。</x:v>
      </x:c>
      <x:c r="G33" s="10" t="str">
        <x:v>－</x:v>
      </x:c>
      <x:c r="H33" s="10"/>
      <x:c r="I33" s="10"/>
      <x:c r="J33" s="13"/>
      <x:c r="K33" s="10"/>
      <x:c r="L33" s="10"/>
      <x:c r="M33" s="10"/>
      <x:c r="N33" s="13"/>
      <x:c r="O33" s="10" t="str">
        <x:f>IF(L33&lt;&gt;"",L33,IF(H33="","未実施",H33))</x:f>
        <x:v>未実施</x:v>
      </x:c>
      <x:c r="P33" s="10" t="str">
        <x:v>Web根拠：Mcm1003pExcelService.java／Mcm1005uController.java。VB比較対象：Mcm1003pExcel.vb・Constant.vbと起動元画面。対応する機能条件は末尾の根拠一覧参照。</x:v>
      </x:c>
    </x:row>
    <x:row r="34" ht="106" customHeight="1">
      <x:c r="A34" s="10" t="str">
        <x:v>1003P-6</x:v>
      </x:c>
      <x:c r="B34" s="10" t="str">
        <x:v>区分</x:v>
      </x:c>
      <x:c r="C34" s="10" t="str">
        <x:v>契約手続依頼書：解約の依頼区分が出力される</x:v>
      </x:c>
      <x:c r="D34" s="10" t="str">
        <x:v>【前提条件】
・1003P-1と同じ。
・「解約日」が設定された期間タブがある契約。</x:v>
      </x:c>
      <x:c r="E34" s="10" t="str">
        <x:v>1. 1003P-1の手順1〜2でMCM1005Uを表示する。
2. 「解約日」が設定された期間タブを選択する。
3. 取得したファイルを手動で開いたExcelの最初のシートを確認する。
4. 共通手順W01に従い対象ファイルを取得し、Excelで開いて本ケースの期待結果を確認する。異常系はファイルが取得されないことを確認する。</x:v>
      </x:c>
      <x:c r="F34" s="10" t="str">
        <x:v>1. 1行目（E1付近）に「(□新規契約 ■解約 □更新)」が表示される。
2. 「契約」欄（見積金額、支払月、契約開始日、見積書番号、時間帯、手配製番）が空欄である。
3. 「解約」欄（契約金額、支払月、解約日、契約書番号）に値が出力される。</x:v>
      </x:c>
      <x:c r="G34" s="10" t="str">
        <x:v>－</x:v>
      </x:c>
      <x:c r="H34" s="10"/>
      <x:c r="I34" s="10"/>
      <x:c r="J34" s="13"/>
      <x:c r="K34" s="10"/>
      <x:c r="L34" s="10"/>
      <x:c r="M34" s="10"/>
      <x:c r="N34" s="13"/>
      <x:c r="O34" s="10" t="str">
        <x:f>IF(L34&lt;&gt;"",L34,IF(H34="","未実施",H34))</x:f>
        <x:v>未実施</x:v>
      </x:c>
      <x:c r="P34" s="10" t="str">
        <x:v>Web根拠：Mcm1003pExcelService.java／Mcm1005uController.java。VB比較対象：Mcm1003pExcel.vb・Constant.vbと起動元画面。対応する機能条件は末尾の根拠一覧参照。</x:v>
      </x:c>
    </x:row>
    <x:row r="35" ht="106" customHeight="1">
      <x:c r="A35" s="10" t="str">
        <x:v>1003P-7</x:v>
      </x:c>
      <x:c r="B35" s="10" t="str">
        <x:v>ヘッダー</x:v>
      </x:c>
      <x:c r="C35" s="10" t="str">
        <x:v>契約手続依頼書：作成日とページが出力される（1枚の場合）</x:v>
      </x:c>
      <x:c r="D35" s="10" t="str">
        <x:v>【前提条件】
・1003P-1と同じ。
・保守契約機器明細が20件以内の契約。</x:v>
      </x:c>
      <x:c r="E35" s="10" t="str">
        <x:v>1. 1003P-1の手順1〜2でMCM1005Uを表示する。
2. 期間タブを選択し、「契約発行」ボタンを押下する。
3. 取得したファイルを手動で開いたExcelの最初のシートの、右上（1〜2行目）を確認する。
4. 共通手順W01に従い対象ファイルを取得し、Excelで開いて本ケースの期待結果を確認する。異常系はファイルが取得されないことを確認する。</x:v>
      </x:c>
      <x:c r="F35" s="10" t="str">
        <x:v>1. 1行目の右（K1付近）に「作成日：」に続けて、操作した日の日付が「yyyy/MM/dd」の形式（例：作成日：2026/10/06）で表示される。
2. 2行目の右（K2付近）に「(1/1)」が表示される。
3. シートが1枚だけである（2枚目のシートがない）。</x:v>
      </x:c>
      <x:c r="G35" s="10" t="str">
        <x:v>－</x:v>
      </x:c>
      <x:c r="H35" s="10"/>
      <x:c r="I35" s="10"/>
      <x:c r="J35" s="13"/>
      <x:c r="K35" s="10"/>
      <x:c r="L35" s="10"/>
      <x:c r="M35" s="10"/>
      <x:c r="N35" s="13"/>
      <x:c r="O35" s="10" t="str">
        <x:f>IF(L35&lt;&gt;"",L35,IF(H35="","未実施",H35))</x:f>
        <x:v>未実施</x:v>
      </x:c>
      <x:c r="P35" s="10" t="str">
        <x:v>Web根拠：Mcm1003pExcelService.java／Mcm1005uController.java。VB比較対象：Mcm1003pExcel.vb・Constant.vbと起動元画面。対応する機能条件は末尾の根拠一覧参照。</x:v>
      </x:c>
    </x:row>
    <x:row r="36" ht="176" customHeight="1">
      <x:c r="A36" s="10" t="str">
        <x:v>1003P-8</x:v>
      </x:c>
      <x:c r="B36" s="10" t="str">
        <x:v>ヘッダー</x:v>
      </x:c>
      <x:c r="C36" s="10" t="str">
        <x:v>契約手続依頼書：取引先名とご担当者様が出力される</x:v>
      </x:c>
      <x:c r="D36" s="10" t="str">
        <x:v>【前提条件】
・1003P-1と同じ。
・取引先に主担当者が設定されている。</x:v>
      </x:c>
      <x:c r="E36" s="10" t="str">
        <x:v>1. 1003P-1の手順1〜2でMCM1005Uを表示する。
2. 画面の「取引先」の値を控える。
3. 　【控え】取引先＝（　　　）
4. 主担当者は、取引先マスタ(MCM0017U)で確認して控える【要確認：取引先マスタ画面の項目名】。
5. 　【控え】主担当者＝（　　　）
6. 期間タブを選択し、「契約発行」ボタンを押下する。
7. 取得したファイルを手動で開いたExcelの最初のシートの3〜4行目を確認する。
8. 共通手順W01に従い対象ファイルを取得し、Excelで開いて本ケースの期待結果を確認する。異常系はファイルが取得されないことを確認する。</x:v>
      </x:c>
      <x:c r="F36" s="10" t="str">
        <x:v>1. 「取引先名」の右の欄に、控えた取引先と同じ値が表示される。
2. 「ご担当者様」の右の欄に、控えた主担当者の後ろに「様」を付けた値が表示される（例：山田 太郎様）。</x:v>
      </x:c>
      <x:c r="G36" s="10" t="str">
        <x:v>－</x:v>
      </x:c>
      <x:c r="H36" s="10"/>
      <x:c r="I36" s="10"/>
      <x:c r="J36" s="13"/>
      <x:c r="K36" s="10"/>
      <x:c r="L36" s="10"/>
      <x:c r="M36" s="10"/>
      <x:c r="N36" s="13"/>
      <x:c r="O36" s="10" t="str">
        <x:f>IF(L36&lt;&gt;"",L36,IF(H36="","未実施",H36))</x:f>
        <x:v>未実施</x:v>
      </x:c>
      <x:c r="P36" s="10" t="str">
        <x:v>Web根拠：Mcm1003pExcelService.java／Mcm1005uController.java。VB比較対象：Mcm1003pExcel.vb・Constant.vbと起動元画面。対応する機能条件は末尾の根拠一覧参照。</x:v>
      </x:c>
    </x:row>
    <x:row r="37" ht="106" customHeight="1">
      <x:c r="A37" s="10" t="str">
        <x:v>1003P-9</x:v>
      </x:c>
      <x:c r="B37" s="10" t="str">
        <x:v>ヘッダー</x:v>
      </x:c>
      <x:c r="C37" s="10" t="str">
        <x:v>契約手続依頼書：主担当者が未設定の場合は「ご担当者様」の欄が空欄になる</x:v>
      </x:c>
      <x:c r="D37" s="10" t="str">
        <x:v>【前提条件】
・1003P-1と同じ。
・取引先の主担当者が未設定の契約。</x:v>
      </x:c>
      <x:c r="E37" s="10" t="str">
        <x:v>1. 1003P-1の手順1〜2でMCM1005Uを表示する。
2. 期間タブを選択し、「契約発行」ボタンを押下する。
3. 取得したファイルを手動で開いたExcelの最初のシートの4行目を確認する。
4. 共通手順W01に従い対象ファイルを取得し、Excelで開いて本ケースの期待結果を確認する。異常系はファイルが取得されないことを確認する。</x:v>
      </x:c>
      <x:c r="F37" s="10" t="str">
        <x:v>1. 「ご担当者様」の右の欄が空欄である（「様」だけの表示になっていない）。</x:v>
      </x:c>
      <x:c r="G37" s="10" t="str">
        <x:v>－</x:v>
      </x:c>
      <x:c r="H37" s="10"/>
      <x:c r="I37" s="10"/>
      <x:c r="J37" s="13"/>
      <x:c r="K37" s="10"/>
      <x:c r="L37" s="10"/>
      <x:c r="M37" s="10"/>
      <x:c r="N37" s="13"/>
      <x:c r="O37" s="10" t="str">
        <x:f>IF(L37&lt;&gt;"",L37,IF(H37="","未実施",H37))</x:f>
        <x:v>未実施</x:v>
      </x:c>
      <x:c r="P37" s="10" t="str">
        <x:v>Web根拠：Mcm1003pExcelService.java／Mcm1005uController.java。VB比較対象：Mcm1003pExcel.vb・Constant.vbと起動元画面。対応する機能条件は末尾の根拠一覧参照。</x:v>
      </x:c>
    </x:row>
    <x:row r="38" ht="218" customHeight="1">
      <x:c r="A38" s="10" t="str">
        <x:v>1003P-10</x:v>
      </x:c>
      <x:c r="B38" s="10" t="str">
        <x:v>顧客情報</x:v>
      </x:c>
      <x:c r="C38" s="10" t="str">
        <x:v>契約手続依頼書：納入先・住所（郵便番号あり）・電話番号・担当部署・担当者・サポートIDが出力される</x:v>
      </x:c>
      <x:c r="D38" s="10" t="str">
        <x:v>【前提条件】
・1003P-1と同じ。
・納入先の郵便番号、住所1、住所2、電話番号、担当部署、担当者、サポートIDがすべて入力済みの契約。</x:v>
      </x:c>
      <x:c r="E38" s="10" t="str">
        <x:v>1. 1003P-1の手順1〜2でMCM1005Uを表示する。
2. 画面の「納入先」の値を控える。郵便番号、住所、電話番号、担当部署、担当者、サポートIDは MCM1005U に表示されないため、納入先マスタ（MCM0011U）で同じ納入先の値を確認して控える（契約の作成後にマスタを変更している場合は、値が異なる可能性がある）【要確認：納入先マスタ画面の項目名】。
3. 　【控え】納入先＝（　）、郵便番号＝（　）、住所1＝（　）、住所2＝（　）、電話番号＝（　）、担当部署＝（　）、担当者＝（　）、サポートID＝（　）
4. 期間タブを選択し、「契約発行」ボタンを押下する。
5. 取得したファイルを手動で開いたExcelの最初のシートの、顧客情報（6〜10行目）を確認する。
6. 共通手順W01に従い対象ファイルを取得し、Excelで開いて本ケースの期待結果を確認する。異常系はファイルが取得されないことを確認する。</x:v>
      </x:c>
      <x:c r="F38" s="10" t="str">
        <x:v>1. 「納入先」の右の欄に、控えた納入先が表示される。
2. 「住所」の右の欄に、「〒」に続けて郵便番号の上3桁、「-」、下4桁、半角スペース、住所1と住所2をつなげた値が表示される（例：〒123-4567 東京都千代田区1-2-3ビル）。
3. 「電話番号」の右の欄に、控えた電話番号が表示される。
4. 「担当部署」の右の欄に、控えた担当部署が表示される。
5. 「担当者」の右の欄に、控えた担当者の後ろに「様」を付けた値が表示される。
6. 「サポートID」の右の欄に、控えたサポートIDが表示される。</x:v>
      </x:c>
      <x:c r="G38" s="10" t="str">
        <x:v>－</x:v>
      </x:c>
      <x:c r="H38" s="10"/>
      <x:c r="I38" s="10"/>
      <x:c r="J38" s="13"/>
      <x:c r="K38" s="10"/>
      <x:c r="L38" s="10"/>
      <x:c r="M38" s="10"/>
      <x:c r="N38" s="13"/>
      <x:c r="O38" s="10" t="str">
        <x:f>IF(L38&lt;&gt;"",L38,IF(H38="","未実施",H38))</x:f>
        <x:v>未実施</x:v>
      </x:c>
      <x:c r="P38" s="10" t="str">
        <x:v>Web根拠：Mcm1003pExcelService.java／Mcm1005uController.java。VB比較対象：Mcm1003pExcel.vb・Constant.vbと起動元画面。対応する機能条件は末尾の根拠一覧参照。</x:v>
      </x:c>
    </x:row>
    <x:row r="39" ht="106" customHeight="1">
      <x:c r="A39" s="10" t="str">
        <x:v>1003P-11</x:v>
      </x:c>
      <x:c r="B39" s="10" t="str">
        <x:v>顧客情報</x:v>
      </x:c>
      <x:c r="C39" s="10" t="str">
        <x:v>契約手続依頼書：郵便番号が未設定の場合は住所だけが出力される</x:v>
      </x:c>
      <x:c r="D39" s="10" t="str">
        <x:v>【前提条件】
・1003P-1と同じ。
・納入先の郵便番号が未設定の契約。</x:v>
      </x:c>
      <x:c r="E39" s="10" t="str">
        <x:v>1. 1003P-1の手順1〜2でMCM1005Uを表示する。
2. 期間タブを選択し、「契約発行」ボタンを押下する。
3. 取得したファイルを手動で開いたExcelの最初のシートの、「住所」の右の欄を確認する。
4. 共通手順W01に従い対象ファイルを取得し、Excelで開いて本ケースの期待結果を確認する。異常系はファイルが取得されないことを確認する。</x:v>
      </x:c>
      <x:c r="F39" s="10" t="str">
        <x:v>1. 「住所」の右の欄に、「〒」や「-」を含まない、住所1と住所2をつなげた値だけが表示される。</x:v>
      </x:c>
      <x:c r="G39" s="10" t="str">
        <x:v>－</x:v>
      </x:c>
      <x:c r="H39" s="10"/>
      <x:c r="I39" s="10"/>
      <x:c r="J39" s="13"/>
      <x:c r="K39" s="10"/>
      <x:c r="L39" s="10"/>
      <x:c r="M39" s="10"/>
      <x:c r="N39" s="13"/>
      <x:c r="O39" s="10" t="str">
        <x:f>IF(L39&lt;&gt;"",L39,IF(H39="","未実施",H39))</x:f>
        <x:v>未実施</x:v>
      </x:c>
      <x:c r="P39" s="10" t="str">
        <x:v>Web根拠：Mcm1003pExcelService.java／Mcm1005uController.java。VB比較対象：Mcm1003pExcel.vb・Constant.vbと起動元画面。対応する機能条件は末尾の根拠一覧参照。</x:v>
      </x:c>
    </x:row>
    <x:row r="40" ht="176" customHeight="1">
      <x:c r="A40" s="10" t="str">
        <x:v>1003P-12</x:v>
      </x:c>
      <x:c r="B40" s="10" t="str">
        <x:v>契約・解約</x:v>
      </x:c>
      <x:c r="C40" s="10" t="str">
        <x:v>契約手続依頼書：契約欄（新規契約）の各項目が出力される</x:v>
      </x:c>
      <x:c r="D40" s="10" t="str">
        <x:v>【前提条件】
・1003P-1と同じ。
・解約日が空の先頭の期間タブ（新規契約）。契約日、支払回数、時間帯が設定済み。機器構成に手配製番が設定されている。</x:v>
      </x:c>
      <x:c r="E40" s="10" t="str">
        <x:v>1. 1003P-1の手順1〜2でMCM1005Uを表示する。
2. 1つ目の期間タブを選択し、次の項目を控える。
3. 　【控え】「仕切価格」の「合計」＝（　）、画面上部の「契約日」＝（　）、「支払情報」の「回数」＝（　）、「契約時間帯」＝（　）、機器情報の一覧の「手配製番」＝（　）。見積書番号は MCM1005U に表示されないため、控えは取らない【要確認：確認方法】
4. 取得したファイルを手動で開いたExcelの最初のシートの、契約欄（12〜15行目）を確認する。
5. 共通手順W01に従い対象ファイルを取得し、Excelで開いて本ケースの期待結果を確認する。異常系はファイルが取得されないことを確認する。</x:v>
      </x:c>
      <x:c r="F40" s="10" t="str">
        <x:v>1. 「見積金額」の右の欄に、控えた金額が表示される。
2. 「支払月」の右の欄に、「年」に続けて支払回数、「回」が表示される（例：年2回）。
3. 「契約開始日」の右の欄に、画面の契約日と同じ値が表示される。
4. 「見積書番号」の右の欄に、契約に使用した取引先見積のNOが表示される（複数ある場合は「,」でつないで表示される）。
5. 「時間帯」の右の欄に、控えた保守契約時間帯の後ろに「H」を付けた値（例：24H）が表示される。
6. 「手配製番」の右の欄に、機器構成に設定された手配製番が表示される（複数ある場合は重複を除き「,」でつないで表示される）。</x:v>
      </x:c>
      <x:c r="G40" s="10" t="str">
        <x:v>－</x:v>
      </x:c>
      <x:c r="H40" s="10"/>
      <x:c r="I40" s="10"/>
      <x:c r="J40" s="13"/>
      <x:c r="K40" s="10"/>
      <x:c r="L40" s="10"/>
      <x:c r="M40" s="10"/>
      <x:c r="N40" s="13"/>
      <x:c r="O40" s="10" t="str">
        <x:f>IF(L40&lt;&gt;"",L40,IF(H40="","未実施",H40))</x:f>
        <x:v>未実施</x:v>
      </x:c>
      <x:c r="P40" s="10" t="str">
        <x:v>Web根拠：Mcm1003pExcelService.java／Mcm1005uController.java。VB比較対象：Mcm1003pExcel.vb・Constant.vbと起動元画面。対応する機能条件は末尾の根拠一覧参照。</x:v>
      </x:c>
    </x:row>
    <x:row r="41" ht="162" customHeight="1">
      <x:c r="A41" s="10" t="str">
        <x:v>1003P-13</x:v>
      </x:c>
      <x:c r="B41" s="10" t="str">
        <x:v>契約・解約</x:v>
      </x:c>
      <x:c r="C41" s="10" t="str">
        <x:v>契約手続依頼書：解約欄の各項目が出力される（解約）</x:v>
      </x:c>
      <x:c r="D41" s="10" t="str">
        <x:v>【前提条件】
・1003P-1と同じ。
・解約日が設定された期間タブがある契約（1003P-6 と同じ条件）。</x:v>
      </x:c>
      <x:c r="E41" s="10" t="str">
        <x:v>1. 1003P-1の手順1〜2でMCM1005Uを表示する。
2. 「解約日」が設定された期間タブを選択し、次の項目を控える。
3. 　【控え】そのタブの「仕切価格」の「合計」＝（　）、「支払情報」の「回数」＝（　）、画面上部の「解約日」＝（　）、画面上部の「契約NO」＝（　）
4. 取得したファイルを手動で開いたExcelの最初のシートの、解約欄（18〜19行目）を確認する。
5. 共通手順W01に従い対象ファイルを取得し、Excelで開いて本ケースの期待結果を確認する。異常系はファイルが取得されないことを確認する。</x:v>
      </x:c>
      <x:c r="F41" s="10" t="str">
        <x:v>1. 「契約金額」の右の欄に、控えた金額が表示される。
2. 「支払月」の右の欄に、「年」に続けて支払回数、「回」が表示される（例：年2回）。
3. 「解約日」の右の欄に、画面の解約日と同じ値が表示される。
4. 「契約書番号」の右の欄に、画面の契約NOと同じ値が表示される。</x:v>
      </x:c>
      <x:c r="G41" s="10" t="str">
        <x:v>－</x:v>
      </x:c>
      <x:c r="H41" s="10"/>
      <x:c r="I41" s="10"/>
      <x:c r="J41" s="13"/>
      <x:c r="K41" s="10"/>
      <x:c r="L41" s="10"/>
      <x:c r="M41" s="10"/>
      <x:c r="N41" s="13"/>
      <x:c r="O41" s="10" t="str">
        <x:f>IF(L41&lt;&gt;"",L41,IF(H41="","未実施",H41))</x:f>
        <x:v>未実施</x:v>
      </x:c>
      <x:c r="P41" s="10" t="str">
        <x:v>Web根拠：Mcm1003pExcelService.java／Mcm1005uController.java。VB比較対象：Mcm1003pExcel.vb・Constant.vbと起動元画面。対応する機能条件は末尾の根拠一覧参照。</x:v>
      </x:c>
    </x:row>
    <x:row r="42" ht="162" customHeight="1">
      <x:c r="A42" s="10" t="str">
        <x:v>1003P-14</x:v>
      </x:c>
      <x:c r="B42" s="10" t="str">
        <x:v>契約・解約</x:v>
      </x:c>
      <x:c r="C42" s="10" t="str">
        <x:v>契約手続依頼書：更新のとき、契約欄は選択中の期間、解約欄は有効な一つ前の期間の内容になる</x:v>
      </x:c>
      <x:c r="D42" s="10" t="str">
        <x:v>【前提条件】
・1003P-5と同じ条件の契約（2つ目以降の期間タブ、一つ前に有効な期間タブあり）。
・前の期間と選択中の期間で、金額または支払回数が異なる。</x:v>
      </x:c>
      <x:c r="E42" s="10" t="str">
        <x:v>1. 1003P-1の手順1〜2でMCM1005Uを表示する。
2. 選択中の期間タブと、その一つ前の有効な期間タブの、金額と支払回数を控える。
3. 　【控え】選択中：金額＝（　）、支払回数＝（　）／一つ前：金額＝（　）、支払回数＝（　）
4. 選択中の期間タブに戻り、「契約発行」ボタンを押下する。
5. 取得したファイルを手動で開いたExcelの最初のシートの、契約欄と解約欄を確認する。
6. 共通手順W01に従い対象ファイルを取得し、Excelで開いて本ケースの期待結果を確認する。異常系はファイルが取得されないことを確認する。</x:v>
      </x:c>
      <x:c r="F42" s="10" t="str">
        <x:v>1. 契約欄（新契約）の「見積金額」「支払月」に、選択中の期間の金額と支払回数が表示される。
2. 解約欄（旧契約）の「契約金額」「支払月」に、一つ前の有効な期間の金額と支払回数が表示される。</x:v>
      </x:c>
      <x:c r="G42" s="10" t="str">
        <x:v>－</x:v>
      </x:c>
      <x:c r="H42" s="10"/>
      <x:c r="I42" s="10"/>
      <x:c r="J42" s="13"/>
      <x:c r="K42" s="10"/>
      <x:c r="L42" s="10"/>
      <x:c r="M42" s="10"/>
      <x:c r="N42" s="13"/>
      <x:c r="O42" s="10" t="str">
        <x:f>IF(L42&lt;&gt;"",L42,IF(H42="","未実施",H42))</x:f>
        <x:v>未実施</x:v>
      </x:c>
      <x:c r="P42" s="10" t="str">
        <x:v>Web根拠：Mcm1003pExcelService.java／Mcm1005uController.java。VB比較対象：Mcm1003pExcel.vb・Constant.vbと起動元画面。対応する機能条件は末尾の根拠一覧参照。</x:v>
      </x:c>
    </x:row>
    <x:row r="43" ht="162" customHeight="1">
      <x:c r="A43" s="10" t="str">
        <x:v>1003P-15</x:v>
      </x:c>
      <x:c r="B43" s="10" t="str">
        <x:v>明細</x:v>
      </x:c>
      <x:c r="C43" s="10" t="str">
        <x:v>契約手続依頼書：保守契約機器明細（新規契約）の各項目が出力される</x:v>
      </x:c>
      <x:c r="D43" s="10" t="str">
        <x:v>【前提条件】
・1003P-1と同じ。
・新規契約（1003P-4 と同じ条件）で、機器明細が3件以上ある。保守点検（年の回数）と点検月が設定された機器を含む。</x:v>
      </x:c>
      <x:c r="E43" s="10" t="str">
        <x:v>1. 1003P-1の手順1〜2でMCM1005Uを表示する。
2. 1つ目の期間タブを選択し、機器情報の一覧の全行について、「品名」「型式」「数量」を控える。また「点検情報」の同じ機器の行の「回数」と、チェックが入っている「1月」〜「12月」を控える。
3. 取得したファイルを手動で開いたExcelの最初のシートの、「（保守契約機器明細）」の表を確認する。
4. 共通手順W01に従い対象ファイルを取得し、Excelで開いて本ケースの期待結果を確認する。異常系はファイルが取得されないことを確認する。</x:v>
      </x:c>
      <x:c r="F43" s="10" t="str">
        <x:v>1. 明細が、見出し行の下の最初の行（27行目）から、機器明細の件数と同じ行数で、途中で空行を挟まず表示される。
2. 「No」の下が、1から順に連番になっている。
3. 各行の「品名」「型式」「数量」の下の値が、控えた値と一致する。
4. 「保守点検」の下に、点検回数の後ろに「回/年」を付けた値（例：4回/年）が表示される。
5. 「点検月」の下に、点検する月が「1月,4月,7月,10月」のように「,」でつないで小さい順に表示される。
6. 「備考」の下が空欄である（新規契約・解約では備考を出力しない）。</x:v>
      </x:c>
      <x:c r="G43" s="10" t="str">
        <x:v>－</x:v>
      </x:c>
      <x:c r="H43" s="10"/>
      <x:c r="I43" s="10"/>
      <x:c r="J43" s="13"/>
      <x:c r="K43" s="10"/>
      <x:c r="L43" s="10"/>
      <x:c r="M43" s="10"/>
      <x:c r="N43" s="13"/>
      <x:c r="O43" s="10" t="str">
        <x:f>IF(L43&lt;&gt;"",L43,IF(H43="","未実施",H43))</x:f>
        <x:v>未実施</x:v>
      </x:c>
      <x:c r="P43" s="10" t="str">
        <x:v>Web根拠：Mcm1003pExcelService.java／Mcm1005uController.java。VB比較対象：Mcm1003pExcel.vb・Constant.vbと起動元画面。対応する機能条件は末尾の根拠一覧参照。</x:v>
      </x:c>
    </x:row>
    <x:row r="44" ht="106" customHeight="1">
      <x:c r="A44" s="10" t="str">
        <x:v>1003P-16</x:v>
      </x:c>
      <x:c r="B44" s="10" t="str">
        <x:v>明細</x:v>
      </x:c>
      <x:c r="C44" s="10" t="str">
        <x:v>契約手続依頼書：点検の設定がない機器は「保守点検」「点検月」が空欄で出力される</x:v>
      </x:c>
      <x:c r="D44" s="10" t="str">
        <x:v>【前提条件】
・1003P-15と同じ。
・点検の設定がない機器が含まれる。</x:v>
      </x:c>
      <x:c r="E44" s="10" t="str">
        <x:v>1. 1003P-1の手順1〜2でMCM1005Uを表示する。
2. 期間タブを選択し、点検の設定がない機器の行を控える。
3. 取得したファイルを手動で開いたExcelで、その機器の行を確認する。
4. 共通手順W01に従い対象ファイルを取得し、Excelで開いて本ケースの期待結果を確認する。異常系はファイルが取得されないことを確認する。</x:v>
      </x:c>
      <x:c r="F44" s="10" t="str">
        <x:v>1. その機器の行の「保守点検」「点検月」の下が空欄である（「0回/年」などが表示されていない）。
2. 同じ行の「品名」「型式」「数量」には値が表示される。</x:v>
      </x:c>
      <x:c r="G44" s="10" t="str">
        <x:v>－</x:v>
      </x:c>
      <x:c r="H44" s="10"/>
      <x:c r="I44" s="10"/>
      <x:c r="J44" s="13"/>
      <x:c r="K44" s="10"/>
      <x:c r="L44" s="10"/>
      <x:c r="M44" s="10"/>
      <x:c r="N44" s="13"/>
      <x:c r="O44" s="10" t="str">
        <x:f>IF(L44&lt;&gt;"",L44,IF(H44="","未実施",H44))</x:f>
        <x:v>未実施</x:v>
      </x:c>
      <x:c r="P44" s="10" t="str">
        <x:v>Web根拠：Mcm1003pExcelService.java／Mcm1005uController.java。VB比較対象：Mcm1003pExcel.vb・Constant.vbと起動元画面。対応する機能条件は末尾の根拠一覧参照。</x:v>
      </x:c>
    </x:row>
    <x:row r="45" ht="134" customHeight="1">
      <x:c r="A45" s="10" t="str">
        <x:v>1003P-17</x:v>
      </x:c>
      <x:c r="B45" s="10" t="str">
        <x:v>明細（更新）</x:v>
      </x:c>
      <x:c r="C45" s="10" t="str">
        <x:v>契約手続依頼書：更新で、前の期間にない機器は備考に「契約」と出力される</x:v>
      </x:c>
      <x:c r="D45" s="10" t="str">
        <x:v>【前提条件】
・1003P-5と同じ条件の契約。
・選択中の期間に追加された機器（一つ前の有効な期間にない機器）がある。</x:v>
      </x:c>
      <x:c r="E45" s="10" t="str">
        <x:v>1. 1003P-1の手順1〜2でMCM1005Uを表示する。
2. 選択中の期間と一つ前の有効な期間の機器明細を見比べ、追加された機器の行を控える。
3. 選択中の期間タブに戻り、「契約発行」ボタンを押下する。
4. 取得したファイルを手動で開いたExcelで、追加された機器の行を確認する。
5. 共通手順W01に従い対象ファイルを取得し、Excelで開いて本ケースの期待結果を確認する。異常系はファイルが取得されないことを確認する。</x:v>
      </x:c>
      <x:c r="F45" s="10" t="str">
        <x:v>1. 追加された機器の行の「備考」の下に「契約」が表示される。
2. 「数量」の下に、選択中の期間の数量が表示される。</x:v>
      </x:c>
      <x:c r="G45" s="10" t="str">
        <x:v>－</x:v>
      </x:c>
      <x:c r="H45" s="10"/>
      <x:c r="I45" s="10"/>
      <x:c r="J45" s="13"/>
      <x:c r="K45" s="10"/>
      <x:c r="L45" s="10"/>
      <x:c r="M45" s="10"/>
      <x:c r="N45" s="13"/>
      <x:c r="O45" s="10" t="str">
        <x:f>IF(L45&lt;&gt;"",L45,IF(H45="","未実施",H45))</x:f>
        <x:v>未実施</x:v>
      </x:c>
      <x:c r="P45" s="10" t="str">
        <x:v>Web根拠：Mcm1003pExcelService.java／Mcm1005uController.java。VB比較対象：Mcm1003pExcel.vb・Constant.vbと起動元画面。対応する機能条件は末尾の根拠一覧参照。</x:v>
      </x:c>
    </x:row>
    <x:row r="46" ht="120" customHeight="1">
      <x:c r="A46" s="10" t="str">
        <x:v>1003P-18</x:v>
      </x:c>
      <x:c r="B46" s="10" t="str">
        <x:v>明細（更新）</x:v>
      </x:c>
      <x:c r="C46" s="10" t="str">
        <x:v>契約手続依頼書：更新で、数量が変わらない機器は備考に「契約(継続）」と出力される</x:v>
      </x:c>
      <x:c r="D46" s="10" t="str">
        <x:v>【前提条件】
・1003P-5と同じ条件の契約。
・前の期間と選択中の期間で数量が同じ機器がある。</x:v>
      </x:c>
      <x:c r="E46" s="10" t="str">
        <x:v>1. 1003P-1の手順1〜2でMCM1005Uを表示する。
2. 数量が同じ機器の行を控える。
3. 選択中の期間タブに戻り、「契約発行」ボタンを押下する。
4. 取得したファイルを手動で開いたExcelで、その機器の行を確認する。
5. 共通手順W01に従い対象ファイルを取得し、Excelで開いて本ケースの期待結果を確認する。異常系はファイルが取得されないことを確認する。</x:v>
      </x:c>
      <x:c r="F46" s="10" t="str">
        <x:v>1. その機器の行が1行だけ出力され、「備考」の下に「契約(継続）」（末尾の括弧は全角）が表示される。
2. 「数量」の下に、その機器の数量が表示される。</x:v>
      </x:c>
      <x:c r="G46" s="10" t="str">
        <x:v>－</x:v>
      </x:c>
      <x:c r="H46" s="10"/>
      <x:c r="I46" s="10"/>
      <x:c r="J46" s="13"/>
      <x:c r="K46" s="10"/>
      <x:c r="L46" s="10"/>
      <x:c r="M46" s="10"/>
      <x:c r="N46" s="13"/>
      <x:c r="O46" s="10" t="str">
        <x:f>IF(L46&lt;&gt;"",L46,IF(H46="","未実施",H46))</x:f>
        <x:v>未実施</x:v>
      </x:c>
      <x:c r="P46" s="10" t="str">
        <x:v>Web根拠：Mcm1003pExcelService.java／Mcm1005uController.java。VB比較対象：Mcm1003pExcel.vb・Constant.vbと起動元画面。対応する機能条件は末尾の根拠一覧参照。</x:v>
      </x:c>
    </x:row>
    <x:row r="47" ht="148" customHeight="1">
      <x:c r="A47" s="10" t="str">
        <x:v>1003P-19</x:v>
      </x:c>
      <x:c r="B47" s="10" t="str">
        <x:v>明細（更新）</x:v>
      </x:c>
      <x:c r="C47" s="10" t="str">
        <x:v>契約手続依頼書：更新で、数量が増えた機器は「契約(継続）」と「契約」の2行で出力される</x:v>
      </x:c>
      <x:c r="D47" s="10" t="str">
        <x:v>【前提条件】
・1003P-5と同じ条件の契約。
・前の期間より選択中の期間で数量が増えた機器がある（例：前の期間2台、選択中の期間5台）。</x:v>
      </x:c>
      <x:c r="E47" s="10" t="str">
        <x:v>1. 1003P-1の手順1〜2でMCM1005Uを表示する。
2. 数量が増えた機器の、前の期間と選択中の期間の数量を控える。
3. 　【控え】前＝（　）、選択中＝（　）
4. 選択中の期間タブに戻り、「契約発行」ボタンを押下する。
5. 取得したファイルを手動で開いたExcelで、その機器の行を確認する。
6. 共通手順W01に従い対象ファイルを取得し、Excelで開いて本ケースの期待結果を確認する。異常系はファイルが取得されないことを確認する。</x:v>
      </x:c>
      <x:c r="F47" s="10" t="str">
        <x:v>1. その機器が連続する2行で出力される。
2. 1行目の「備考」の下が「契約(継続）」、「数量」の下が前の期間の数量（例：2）である。
3. 2行目の「備考」の下が「契約」、「数量」の下が増えた分（選択中の数量−前の数量。例：3）である。</x:v>
      </x:c>
      <x:c r="G47" s="10" t="str">
        <x:v>－</x:v>
      </x:c>
      <x:c r="H47" s="10"/>
      <x:c r="I47" s="10"/>
      <x:c r="J47" s="13"/>
      <x:c r="K47" s="10"/>
      <x:c r="L47" s="10"/>
      <x:c r="M47" s="10"/>
      <x:c r="N47" s="13"/>
      <x:c r="O47" s="10" t="str">
        <x:f>IF(L47&lt;&gt;"",L47,IF(H47="","未実施",H47))</x:f>
        <x:v>未実施</x:v>
      </x:c>
      <x:c r="P47" s="10" t="str">
        <x:v>Web根拠：Mcm1003pExcelService.java／Mcm1005uController.java。VB比較対象：Mcm1003pExcel.vb・Constant.vbと起動元画面。対応する機能条件は末尾の根拠一覧参照。</x:v>
      </x:c>
    </x:row>
    <x:row r="48" ht="148" customHeight="1">
      <x:c r="A48" s="10" t="str">
        <x:v>1003P-20</x:v>
      </x:c>
      <x:c r="B48" s="10" t="str">
        <x:v>明細（更新）</x:v>
      </x:c>
      <x:c r="C48" s="10" t="str">
        <x:v>契約手続依頼書：更新で、数量が減った機器は「契約(継続）」と「解約」の2行で出力される</x:v>
      </x:c>
      <x:c r="D48" s="10" t="str">
        <x:v>【前提条件】
・1003P-5と同じ条件の契約。
・前の期間より選択中の期間で数量が減った機器がある（例：前の期間5台、選択中の期間2台）。</x:v>
      </x:c>
      <x:c r="E48" s="10" t="str">
        <x:v>1. 1003P-1の手順1〜2でMCM1005Uを表示する。
2. 数量が減った機器の、前の期間と選択中の期間の数量を控える。
3. 　【控え】前＝（　）、選択中＝（　）
4. 選択中の期間タブに戻り、「契約発行」ボタンを押下する。
5. 取得したファイルを手動で開いたExcelで、その機器の行を確認する。
6. 共通手順W01に従い対象ファイルを取得し、Excelで開いて本ケースの期待結果を確認する。異常系はファイルが取得されないことを確認する。</x:v>
      </x:c>
      <x:c r="F48" s="10" t="str">
        <x:v>1. その機器が連続する2行で出力される。
2. 1行目の「備考」の下が「契約(継続）」、「数量」の下が選択中の期間の数量（例：2）である。
3. 2行目の「備考」の下が「解約」、「数量」の下が減った分（前の数量−選択中の数量。例：3）である。</x:v>
      </x:c>
      <x:c r="G48" s="10" t="str">
        <x:v>－</x:v>
      </x:c>
      <x:c r="H48" s="10"/>
      <x:c r="I48" s="10"/>
      <x:c r="J48" s="13"/>
      <x:c r="K48" s="10"/>
      <x:c r="L48" s="10"/>
      <x:c r="M48" s="10"/>
      <x:c r="N48" s="13"/>
      <x:c r="O48" s="10" t="str">
        <x:f>IF(L48&lt;&gt;"",L48,IF(H48="","未実施",H48))</x:f>
        <x:v>未実施</x:v>
      </x:c>
      <x:c r="P48" s="10" t="str">
        <x:v>Web根拠：Mcm1003pExcelService.java／Mcm1005uController.java。VB比較対象：Mcm1003pExcel.vb・Constant.vbと起動元画面。対応する機能条件は末尾の根拠一覧参照。</x:v>
      </x:c>
    </x:row>
    <x:row r="49" ht="120" customHeight="1">
      <x:c r="A49" s="10" t="str">
        <x:v>1003P-21</x:v>
      </x:c>
      <x:c r="B49" s="10" t="str">
        <x:v>明細（更新）</x:v>
      </x:c>
      <x:c r="C49" s="10" t="str">
        <x:v>契約手続依頼書：更新で、前の期間にあって選択中の期間にない機器は備考に「解約」と出力される</x:v>
      </x:c>
      <x:c r="D49" s="10" t="str">
        <x:v>【前提条件】
・1003P-5と同じ条件の契約。
・前の期間にあり、選択中の期間で削除された機器がある。</x:v>
      </x:c>
      <x:c r="E49" s="10" t="str">
        <x:v>1. 1003P-1の手順1〜2でMCM1005Uを表示する。
2. 前の期間にあって選択中の期間にない機器の行を控える。
3. 選択中の期間タブに戻り、「契約発行」ボタンを押下する。
4. 取得したファイルを手動で開いたExcelで、その機器の行を確認する。
5. 共通手順W01に従い対象ファイルを取得し、Excelで開いて本ケースの期待結果を確認する。異常系はファイルが取得されないことを確認する。</x:v>
      </x:c>
      <x:c r="F49" s="10" t="str">
        <x:v>1. その機器の行の「備考」の下に「解約」が表示される。
2. 「数量」の下に、前の期間の数量が表示される。</x:v>
      </x:c>
      <x:c r="G49" s="10" t="str">
        <x:v>－</x:v>
      </x:c>
      <x:c r="H49" s="10"/>
      <x:c r="I49" s="10"/>
      <x:c r="J49" s="13"/>
      <x:c r="K49" s="10"/>
      <x:c r="L49" s="10"/>
      <x:c r="M49" s="10"/>
      <x:c r="N49" s="13"/>
      <x:c r="O49" s="10" t="str">
        <x:f>IF(L49&lt;&gt;"",L49,IF(H49="","未実施",H49))</x:f>
        <x:v>未実施</x:v>
      </x:c>
      <x:c r="P49" s="10" t="str">
        <x:v>Web根拠：Mcm1003pExcelService.java／Mcm1005uController.java。VB比較対象：Mcm1003pExcel.vb・Constant.vbと起動元画面。対応する機能条件は末尾の根拠一覧参照。</x:v>
      </x:c>
    </x:row>
    <x:row r="50" ht="134" customHeight="1">
      <x:c r="A50" s="10" t="str">
        <x:v>1003P-22</x:v>
      </x:c>
      <x:c r="B50" s="10" t="str">
        <x:v>ページ</x:v>
      </x:c>
      <x:c r="C50" s="10" t="str">
        <x:v>契約手続依頼書：明細が20件を超える場合、2枚目のシートに続きが出力される</x:v>
      </x:c>
      <x:c r="D50" s="10" t="str">
        <x:v>【前提条件】
・1003P-1と同じ。
・保守契約機器明細が21件以上、70件以内の契約。</x:v>
      </x:c>
      <x:c r="E50" s="10" t="str">
        <x:v>1. 1003P-1の手順1〜2でMCM1005Uを表示する。
2. 期間タブを選択し、機器明細の件数を控える。
3. 　【控え】件数＝（　）
4. 取得したファイルを手動で開いたExcelで、シートの数と、1枚目・2枚目の明細を確認する。
5. 共通手順W01に従い対象ファイルを取得し、Excelで開いて本ケースの期待結果を確認する。異常系はファイルが取得されないことを確認する。</x:v>
      </x:c>
      <x:c r="F50" s="10" t="str">
        <x:v>1. シートが2枚ある（「契約手続依頼書①」「契約手続依頼書②」）。
2. 1枚目の明細は20行で、「No」が1〜20である。
3. 2枚目の明細が、3行目から始まり、「No」が21から控えた件数までの連番である。
4. 1枚目の2行目の右（K2付近）が「(1/2)」、2枚目の1行目の右（K1付近）が「(2/2)」である。
5. 1枚目の1行目の右（K1付近）に、作成日（「作成日：yyyy/MM/dd」）が表示されたままである。</x:v>
      </x:c>
      <x:c r="G50" s="10" t="str">
        <x:v>－</x:v>
      </x:c>
      <x:c r="H50" s="10"/>
      <x:c r="I50" s="10"/>
      <x:c r="J50" s="13"/>
      <x:c r="K50" s="10"/>
      <x:c r="L50" s="10"/>
      <x:c r="M50" s="10"/>
      <x:c r="N50" s="13"/>
      <x:c r="O50" s="10" t="str">
        <x:f>IF(L50&lt;&gt;"",L50,IF(H50="","未実施",H50))</x:f>
        <x:v>未実施</x:v>
      </x:c>
      <x:c r="P50" s="10" t="str">
        <x:v>Web根拠：Mcm1003pExcelService.java／Mcm1005uController.java。VB比較対象：Mcm1003pExcel.vb・Constant.vbと起動元画面。対応する機能条件は末尾の根拠一覧参照。</x:v>
      </x:c>
    </x:row>
    <x:row r="51" ht="106" customHeight="1">
      <x:c r="A51" s="10" t="str">
        <x:v>1003P-23</x:v>
      </x:c>
      <x:c r="B51" s="10" t="str">
        <x:v>ページ</x:v>
      </x:c>
      <x:c r="C51" s="10" t="str">
        <x:v>契約手続依頼書：明細が20件ちょうどの場合は2枚目が作成されない（境界）</x:v>
      </x:c>
      <x:c r="D51" s="10" t="str">
        <x:v>【前提条件】
・1003P-1と同じ。
・保守契約機器明細がちょうど20件の契約。</x:v>
      </x:c>
      <x:c r="E51" s="10" t="str">
        <x:v>1. 1003P-1の手順1〜2でMCM1005Uを表示する。
2. 期間タブを選択し、機器明細が20件であることを確認する。
3. 取得したファイルを手動で開いたExcelで、シートの数と、2行目の右（K2付近）を確認する。
4. 共通手順W01に従い対象ファイルを取得し、Excelで開いて本ケースの期待結果を確認する。異常系はファイルが取得されないことを確認する。</x:v>
      </x:c>
      <x:c r="F51" s="10" t="str">
        <x:v>1. シートが1枚だけである。
2. 明細が20行で、46行目まで出力される。
3. 2行目の右（K2付近）が「(1/1)」である。</x:v>
      </x:c>
      <x:c r="G51" s="10" t="str">
        <x:v>－</x:v>
      </x:c>
      <x:c r="H51" s="10"/>
      <x:c r="I51" s="10"/>
      <x:c r="J51" s="13"/>
      <x:c r="K51" s="10"/>
      <x:c r="L51" s="10"/>
      <x:c r="M51" s="10"/>
      <x:c r="N51" s="13"/>
      <x:c r="O51" s="10" t="str">
        <x:f>IF(L51&lt;&gt;"",L51,IF(H51="","未実施",H51))</x:f>
        <x:v>未実施</x:v>
      </x:c>
      <x:c r="P51" s="10" t="str">
        <x:v>Web根拠：Mcm1003pExcelService.java／Mcm1005uController.java。VB比較対象：Mcm1003pExcel.vb・Constant.vbと起動元画面。対応する機能条件は末尾の根拠一覧参照。</x:v>
      </x:c>
    </x:row>
    <x:row r="52" ht="106" customHeight="1">
      <x:c r="A52" s="10" t="str">
        <x:v>1003P-24</x:v>
      </x:c>
      <x:c r="B52" s="10" t="str">
        <x:v>担当者印</x:v>
      </x:c>
      <x:c r="C52" s="10" t="str">
        <x:v>契約手続依頼書：担当者の印にログインユーザーの名前と日付が出力される</x:v>
      </x:c>
      <x:c r="D52" s="10" t="str">
        <x:v>【前提条件】
・1003P-1と同じ。</x:v>
      </x:c>
      <x:c r="E52" s="10" t="str">
        <x:v>1. 1003P-1の手順1〜2でMCM1005Uを表示する。
2. 期間タブを選択し、「契約発行」ボタンを押下する。
3. 取得したファイルを手動で開いたExcelの最初のシートの、右下付近の「担当者」の枠を確認する。
4. 共通手順W01に従い対象ファイルを取得し、Excelで開いて本ケースの期待結果を確認する。異常系はファイルが取得されないことを確認する。</x:v>
      </x:c>
      <x:c r="F52" s="10" t="str">
        <x:v>1. 「担当者」の枠の印に、3段の文字が表示される。
2. 上段が「DTS」である。
3. 中段が、操作した日の日付で、「yy.MM.dd」の形式（例：26.10.06）である。
4. 下段が、ログインユーザーの姓と同じである。</x:v>
      </x:c>
      <x:c r="G52" s="10" t="str">
        <x:v>－</x:v>
      </x:c>
      <x:c r="H52" s="10"/>
      <x:c r="I52" s="10"/>
      <x:c r="J52" s="13"/>
      <x:c r="K52" s="10"/>
      <x:c r="L52" s="10"/>
      <x:c r="M52" s="10"/>
      <x:c r="N52" s="13"/>
      <x:c r="O52" s="10" t="str">
        <x:f>IF(L52&lt;&gt;"",L52,IF(H52="","未実施",H52))</x:f>
        <x:v>未実施</x:v>
      </x:c>
      <x:c r="P52" s="10" t="str">
        <x:v>Web根拠：Mcm1003pExcelService.java／Mcm1005uController.java。VB比較対象：Mcm1003pExcel.vb・Constant.vbと起動元画面。対応する機能条件は末尾の根拠一覧参照。</x:v>
      </x:c>
    </x:row>
    <x:row r="53" ht="134" customHeight="1">
      <x:c r="A53" s="10" t="str">
        <x:v>1003P-25</x:v>
      </x:c>
      <x:c r="B53" s="10" t="str">
        <x:v>契約・解約</x:v>
      </x:c>
      <x:c r="C53" s="10" t="str">
        <x:v>契約手続依頼書：契約と解約の「備考欄」「差額処理（返金）」の欄は空欄で出力される</x:v>
      </x:c>
      <x:c r="D53" s="10" t="str">
        <x:v>【前提条件】
・1003P-1と同じ。</x:v>
      </x:c>
      <x:c r="E53" s="10" t="str">
        <x:v>1. 1003P-1の手順1〜2でMCM1005Uを表示する。
2. 期間タブを選択し、「契約発行」ボタンを押下する。
3. 取得したファイルを手動で開いたExcelの最初のシートの、「備考欄」（契約16行目、解約20行目）と「差額処理（返金）」の「契約期間」「返金期間」「金額」「（備考）」の欄を確認する。
4. 共通手順W01に従い対象ファイルを取得し、Excelで開いて本ケースの期待結果を確認する。異常系はファイルが取得されないことを確認する。</x:v>
      </x:c>
      <x:c r="F53" s="10" t="str">
        <x:v>1. 契約の「備考欄」、解約の「備考欄」の右の欄が空欄である。
2. 「差額処理（返金）」の「契約期間」「返金期間」「金額」の右の欄と「（備考）」の欄が空欄である。</x:v>
      </x:c>
      <x:c r="G53" s="10" t="str">
        <x:v>－</x:v>
      </x:c>
      <x:c r="H53" s="10"/>
      <x:c r="I53" s="10"/>
      <x:c r="J53" s="13"/>
      <x:c r="K53" s="10"/>
      <x:c r="L53" s="10"/>
      <x:c r="M53" s="10"/>
      <x:c r="N53" s="13"/>
      <x:c r="O53" s="10" t="str">
        <x:f>IF(L53&lt;&gt;"",L53,IF(H53="","未実施",H53))</x:f>
        <x:v>未実施</x:v>
      </x:c>
      <x:c r="P53" s="10" t="str">
        <x:v>Web根拠：Mcm1003pExcelService.java／Mcm1005uController.java。VB比較対象：Mcm1003pExcel.vb・Constant.vbと起動元画面。対応する機能条件は末尾の根拠一覧参照。</x:v>
      </x:c>
    </x:row>
    <x:row r="54" ht="106" customHeight="1">
      <x:c r="A54" s="10" t="str">
        <x:v>1003P-26</x:v>
      </x:c>
      <x:c r="B54" s="10" t="str">
        <x:v>再発行</x:v>
      </x:c>
      <x:c r="C54" s="10" t="str">
        <x:v>MCM1005U：承認済みの契約手続依頼書がある場合は再発行できない</x:v>
      </x:c>
      <x:c r="D54" s="10" t="str">
        <x:v>【前提条件】
・1003P-1と同じ。
・選択中の期間に、承認済みの添付ファイル（契約手続依頼書）がある（画面下部の「添付資料」一覧の「承認状態」が承認済み）。
・その期間タブの「解約日」が空である。【要確認：承認済みの添付ファイルを作る手順】</x:v>
      </x:c>
      <x:c r="E54" s="10" t="str">
        <x:v>1. 1003P-1の手順1〜2でMCM1005Uを表示する。
2. 承認済みの添付ファイルがある期間タブを選択し、「契約発行」ボタンを押下する。
3. 表示されたメッセージの内容を確認し、「OK」を押下する。
4. 共通手順W01に従い対象ファイルを取得し、Excelで開いて本ケースの期待結果を確認する。異常系はファイルが取得されないことを確認する。</x:v>
      </x:c>
      <x:c r="F54" s="10" t="str">
        <x:v>1. Web画面でメッセージを通知する。
2. 「OK」押下後、帳票がダウンロードされない。
3. 保存先にファイルが作成されない。</x:v>
      </x:c>
      <x:c r="G54" s="10" t="str">
        <x:v>Web画面の通知を確認する。対応する内容：承認済みな契約手続依頼書が存在する為、再発行できません。（改行）期間タブを作成し直して下さい。（VBのダイアログタイトル・アイコン・メッセージIDは合否対象外）</x:v>
      </x:c>
      <x:c r="H54" s="10"/>
      <x:c r="I54" s="10"/>
      <x:c r="J54" s="13"/>
      <x:c r="K54" s="10"/>
      <x:c r="L54" s="10"/>
      <x:c r="M54" s="10"/>
      <x:c r="N54" s="13"/>
      <x:c r="O54" s="10" t="str">
        <x:f>IF(L54&lt;&gt;"",L54,IF(H54="","未実施",H54))</x:f>
        <x:v>未実施</x:v>
      </x:c>
      <x:c r="P54" s="10" t="str">
        <x:v>Web根拠：Mcm1003pExcelService.java／Mcm1005uController.java。VB比較対象：Mcm1003pExcel.vb・Constant.vbと起動元画面。対応する機能条件は末尾の根拠一覧参照。</x:v>
      </x:c>
    </x:row>
    <x:row r="55" ht="120" customHeight="1">
      <x:c r="A55" s="10" t="str">
        <x:v>1003P-27</x:v>
      </x:c>
      <x:c r="B55" s="10" t="str">
        <x:v>区分</x:v>
      </x:c>
      <x:c r="C55" s="10" t="str">
        <x:v>契約手続依頼書：2つ目以降の期間タブでも、前に有効な期間タブがない場合は新規契約の依頼区分が出力される</x:v>
      </x:c>
      <x:c r="D55" s="10" t="str">
        <x:v>【前提条件】
・1003P-1と同じ。
・期間タブが2つ以上あり、選択するタブより前のタブがすべて無効（有効な期間タブがない）である。【要確認：無効な期間タブを作る手順】
・選択するタブの「解約日」が空である。</x:v>
      </x:c>
      <x:c r="E55" s="10" t="str">
        <x:v>1. 1003P-1の手順1〜2でMCM1005Uを表示する。
2. 2つ目以降の期間タブを選択し、「解約日」が空であることを確認する。
3. 取得したファイルを手動で開いたExcelの最初のシートの1行目を確認する。
4. 共通手順W01に従い対象ファイルを取得し、Excelで開いて本ケースの期待結果を確認する。異常系はファイルが取得されないことを確認する。</x:v>
      </x:c>
      <x:c r="F55" s="10" t="str">
        <x:v>1. 1行目（E1付近）に「(■新規契約 □解約 □更新)」が表示される。
2. 「契約」欄の左端のタイトルが「新契約」になっていない（更新ではない）。</x:v>
      </x:c>
      <x:c r="G55" s="10" t="str">
        <x:v>－</x:v>
      </x:c>
      <x:c r="H55" s="10"/>
      <x:c r="I55" s="10"/>
      <x:c r="J55" s="13"/>
      <x:c r="K55" s="10"/>
      <x:c r="L55" s="10"/>
      <x:c r="M55" s="10"/>
      <x:c r="N55" s="13"/>
      <x:c r="O55" s="10" t="str">
        <x:f>IF(L55&lt;&gt;"",L55,IF(H55="","未実施",H55))</x:f>
        <x:v>未実施</x:v>
      </x:c>
      <x:c r="P55" s="10" t="str">
        <x:v>Web根拠：Mcm1003pExcelService.java／Mcm1005uController.java。VB比較対象：Mcm1003pExcel.vb・Constant.vbと起動元画面。対応する機能条件は末尾の根拠一覧参照。</x:v>
      </x:c>
    </x:row>
    <x:row r="56" ht="148" customHeight="1">
      <x:c r="A56" s="10" t="str">
        <x:v>1003P-28</x:v>
      </x:c>
      <x:c r="B56" s="10" t="str">
        <x:v>ボタン制御</x:v>
      </x:c>
      <x:c r="C56" s="10" t="str">
        <x:v>MCM1005U(取引先契約内容)：状態が「破棄」「解約」の契約では「契約発行」が押下できない</x:v>
      </x:c>
      <x:c r="D56" s="10" t="str">
        <x:v>【前提条件】
・ログインユーザーが取引先契約の更新権限を持つ。
・MCM1003Uの一覧に、状態が「破棄」または「解約」で、契約NOのリンクがある行がある。</x:v>
      </x:c>
      <x:c r="E56" s="10" t="str">
        <x:v>1. メニュー(MCM0001U)で「取引先見積・契約検索」ボタンを押下し、MCM1003Uを表示する。
2. 「状態」の「破棄」または「解約」にチェックを入れて「検索」ボタンを押下する。
3. 一覧の「契約NO」のリンクを押下して、MCM1005Uを表示する。
4. 画面右下の「契約発行」ボタンの状態を確認する。
5. 共通手順W01に従い対象ファイルを取得し、Excelで開いて本ケースの期待結果を確認する。異常系はファイルが取得されないことを確認する。</x:v>
      </x:c>
      <x:c r="F56" s="10" t="str">
        <x:v>1. 画面の「状態」が「破棄」または「解約」である。
2. 「契約発行」ボタンが非活性（グレー表示）である。</x:v>
      </x:c>
      <x:c r="G56" s="10" t="str">
        <x:v>－</x:v>
      </x:c>
      <x:c r="H56" s="10"/>
      <x:c r="I56" s="10"/>
      <x:c r="J56" s="13"/>
      <x:c r="K56" s="10"/>
      <x:c r="L56" s="10"/>
      <x:c r="M56" s="10"/>
      <x:c r="N56" s="13"/>
      <x:c r="O56" s="10" t="str">
        <x:f>IF(L56&lt;&gt;"",L56,IF(H56="","未実施",H56))</x:f>
        <x:v>未実施</x:v>
      </x:c>
      <x:c r="P56" s="10" t="str">
        <x:v>Web根拠：Mcm1003pExcelService.java／Mcm1005uController.java。VB比較対象：Mcm1003pExcel.vb・Constant.vbと起動元画面。対応する機能条件は末尾の根拠一覧参照。</x:v>
      </x:c>
    </x:row>
    <x:row r="57" ht="148" customHeight="1">
      <x:c r="A57" s="10" t="str">
        <x:v>1003P-29</x:v>
      </x:c>
      <x:c r="B57" s="10" t="str">
        <x:v>ボタン制御</x:v>
      </x:c>
      <x:c r="C57" s="10" t="str">
        <x:v>MCM1005U(取引先契約内容)：承認状態が「審査中」「承認中」の契約では「契約発行」が押下できない</x:v>
      </x:c>
      <x:c r="D57" s="10" t="str">
        <x:v>【前提条件】
・ログインユーザーが取引先契約の更新権限を持つ。
・承認状態が「審査中」または「承認中」で、契約NOのリンクがある行がMCM1003Uの一覧にある。</x:v>
      </x:c>
      <x:c r="E57" s="10" t="str">
        <x:v>1. メニュー(MCM0001U)で「取引先見積・契約検索」ボタンを押下し、MCM1003Uを表示する。
2. 「承認状態」の「審査中」または「承認中」にチェックを入れて「検索」ボタンを押下する。
3. 一覧の「契約NO」のリンクを押下して、MCM1005Uを表示する。
4. 画面右下の「契約発行」ボタンの状態を確認する。
5. 共通手順W01に従い対象ファイルを取得し、Excelで開いて本ケースの期待結果を確認する。異常系はファイルが取得されないことを確認する。</x:v>
      </x:c>
      <x:c r="F57" s="10" t="str">
        <x:v>1. 画面の「承認状態」が「審査中」または「承認中」である。
2. 「契約発行」ボタンが非活性（グレー表示）である。</x:v>
      </x:c>
      <x:c r="G57" s="10" t="str">
        <x:v>－</x:v>
      </x:c>
      <x:c r="H57" s="10"/>
      <x:c r="I57" s="10"/>
      <x:c r="J57" s="13"/>
      <x:c r="K57" s="10"/>
      <x:c r="L57" s="10"/>
      <x:c r="M57" s="10"/>
      <x:c r="N57" s="13"/>
      <x:c r="O57" s="10" t="str">
        <x:f>IF(L57&lt;&gt;"",L57,IF(H57="","未実施",H57))</x:f>
        <x:v>未実施</x:v>
      </x:c>
      <x:c r="P57" s="10" t="str">
        <x:v>Web根拠：Mcm1003pExcelService.java／Mcm1005uController.java。VB比較対象：Mcm1003pExcel.vb・Constant.vbと起動元画面。対応する機能条件は末尾の根拠一覧参照。</x:v>
      </x:c>
    </x:row>
    <x:row r="58" ht="148" customHeight="1">
      <x:c r="A58" s="10" t="str">
        <x:v>1003P-30</x:v>
      </x:c>
      <x:c r="B58" s="10" t="str">
        <x:v>ボタン制御</x:v>
      </x:c>
      <x:c r="C58" s="10" t="str">
        <x:v>MCM1005U(取引先契約内容)：状態が「契約」で承認状態が「作成中」「差戻中」「承認済」の契約では「契約発行」が押下できる</x:v>
      </x:c>
      <x:c r="D58" s="10" t="str">
        <x:v>【前提条件】
・ログインユーザーが取引先契約の更新権限を持つ。
・状態が「契約」で、承認状態が「作成中」「差戻中」「承認済」のいずれかの契約が、MCM1003Uの一覧にある。</x:v>
      </x:c>
      <x:c r="E58" s="10" t="str">
        <x:v>1. メニュー(MCM0001U)で「取引先見積・契約検索」ボタンを押下し、MCM1003Uを表示する。
2. 「状態」の「契約」にチェックを入れて「検索」ボタンを押下する。
3. 承認状態が上記のいずれかの行の「契約NO」のリンクを押下して、MCM1005Uを表示する。
4. 画面右下の「契約発行」ボタンの状態を確認する。
5. 共通手順W01に従い対象ファイルを取得し、Excelで開いて本ケースの期待結果を確認する。異常系はファイルが取得されないことを確認する。</x:v>
      </x:c>
      <x:c r="F58" s="10" t="str">
        <x:v>1. 画面の「状態」が「契約」で、「承認状態」が「作成中」「差戻中」「承認済」のいずれかである。
2. 「契約発行」ボタンが活性（押下できる状態）である。</x:v>
      </x:c>
      <x:c r="G58" s="10" t="str">
        <x:v>－</x:v>
      </x:c>
      <x:c r="H58" s="10"/>
      <x:c r="I58" s="10"/>
      <x:c r="J58" s="13"/>
      <x:c r="K58" s="10"/>
      <x:c r="L58" s="10"/>
      <x:c r="M58" s="10"/>
      <x:c r="N58" s="13"/>
      <x:c r="O58" s="10" t="str">
        <x:f>IF(L58&lt;&gt;"",L58,IF(H58="","未実施",H58))</x:f>
        <x:v>未実施</x:v>
      </x:c>
      <x:c r="P58" s="10" t="str">
        <x:v>Web根拠：Mcm1003pExcelService.java／Mcm1005uController.java。VB比較対象：Mcm1003pExcel.vb・Constant.vbと起動元画面。対応する機能条件は末尾の根拠一覧参照。</x:v>
      </x:c>
    </x:row>
    <x:row r="59" ht="120" customHeight="1">
      <x:c r="A59" s="10" t="str">
        <x:v>1003P-31</x:v>
      </x:c>
      <x:c r="B59" s="10" t="str">
        <x:v>権限</x:v>
      </x:c>
      <x:c r="C59" s="10" t="str">
        <x:v>MCM1005U(取引先契約内容)：参照のみ権限のユーザーでは「契約発行」が押下できない</x:v>
      </x:c>
      <x:c r="D59" s="10" t="str">
        <x:v>【前提条件】
・ログインユーザーの「取引先契約内容」の画面権限が「参照」である。【要確認：参照権限のユーザーの用意】
・状態が「契約」で承認状態が「作成中」の契約が、MCM1003Uの一覧にある。</x:v>
      </x:c>
      <x:c r="E59" s="10" t="str">
        <x:v>1. メニュー(MCM0001U)で「取引先見積・契約検索」ボタンを押下し、MCM1003Uを表示する。
2. 対象の契約NOを入力して「検索」ボタンを押下し、一覧の「契約NO」のリンクを押下して、MCM1005Uを表示する。
3. 画面右下の「契約発行」ボタンの状態を確認する。
4. 共通手順W01に従い対象ファイルを取得し、Excelで開いて本ケースの期待結果を確認する。異常系はファイルが取得されないことを確認する。</x:v>
      </x:c>
      <x:c r="F59" s="10" t="str">
        <x:v>1. 「契約発行」ボタンが非活性（グレー表示）である。</x:v>
      </x:c>
      <x:c r="G59" s="10" t="str">
        <x:v>－</x:v>
      </x:c>
      <x:c r="H59" s="10"/>
      <x:c r="I59" s="10"/>
      <x:c r="J59" s="13"/>
      <x:c r="K59" s="10"/>
      <x:c r="L59" s="10"/>
      <x:c r="M59" s="10"/>
      <x:c r="N59" s="13"/>
      <x:c r="O59" s="10" t="str">
        <x:f>IF(L59&lt;&gt;"",L59,IF(H59="","未実施",H59))</x:f>
        <x:v>未実施</x:v>
      </x:c>
      <x:c r="P59" s="10" t="str">
        <x:v>Web根拠：Mcm1003pExcelService.java／Mcm1005uController.java。VB比較対象：Mcm1003pExcel.vb・Constant.vbと起動元画面。対応する機能条件は末尾の根拠一覧参照。</x:v>
      </x:c>
    </x:row>
    <x:row r="60" ht="45" customHeight="1">
      <x:c r="A60" s="10" t="str">
        <x:v>1003P-32</x:v>
      </x:c>
      <x:c r="B60" s="10" t="str">
        <x:v>追加／境界</x:v>
      </x:c>
      <x:c r="C60" s="10" t="str">
        <x:v>明細71件・121件の複数ページ境界</x:v>
      </x:c>
      <x:c r="D60" s="10" t="str">
        <x:v>出力後の明細行数が71件と121件になる対象を別々に準備。数量分割後の行数で数える。</x:v>
      </x:c>
      <x:c r="E60" s="10" t="str">
        <x:v>契約発行しページ番号と全明細を照合。</x:v>
      </x:c>
      <x:c r="F60" s="10" t="str">
        <x:v>71件は3シート（20＋50＋1）、121件は4シート（20＋50＋50＋1）。全ページの番号／総数が正しく、見出しを明細で上書きしない。</x:v>
      </x:c>
      <x:c r="G60" s="10" t="str">
        <x:v>－</x:v>
      </x:c>
      <x:c r="H60" s="10"/>
      <x:c r="I60" s="10"/>
      <x:c r="J60" s="13"/>
      <x:c r="K60" s="10"/>
      <x:c r="L60" s="10"/>
      <x:c r="M60" s="10"/>
      <x:c r="N60" s="13"/>
      <x:c r="O60" s="10" t="str">
        <x:f>IF(L60&lt;&gt;"",L60,IF(H60="","未実施",H60))</x:f>
        <x:v>未実施</x:v>
      </x:c>
      <x:c r="P60" s="10" t="str">
        <x:v>追加観点。Web根拠一覧参照。</x:v>
      </x:c>
    </x:row>
    <x:row r="61" ht="45" customHeight="1">
      <x:c r="A61" s="10" t="str">
        <x:v>1003P-33</x:v>
      </x:c>
      <x:c r="B61" s="10" t="str">
        <x:v>追加／境界</x:v>
      </x:c>
      <x:c r="C61" s="10" t="str">
        <x:v>明細19・21・70件の境界</x:v>
      </x:c>
      <x:c r="D61" s="10" t="str">
        <x:v>19・21・70行の対象を準備。</x:v>
      </x:c>
      <x:c r="E61" s="10" t="str">
        <x:v>各対象の出力を比較。</x:v>
      </x:c>
      <x:c r="F61" s="10" t="str">
        <x:v>19行は1枚、21行は2枚、70行は2枚。明細数＝全ページの行数合計。空の余分なページを作らない。</x:v>
      </x:c>
      <x:c r="G61" s="10" t="str">
        <x:v>－</x:v>
      </x:c>
      <x:c r="H61" s="10"/>
      <x:c r="I61" s="10"/>
      <x:c r="J61" s="13"/>
      <x:c r="K61" s="10"/>
      <x:c r="L61" s="10"/>
      <x:c r="M61" s="10"/>
      <x:c r="N61" s="13"/>
      <x:c r="O61" s="10" t="str">
        <x:f>IF(L61&lt;&gt;"",L61,IF(H61="","未実施",H61))</x:f>
        <x:v>未実施</x:v>
      </x:c>
      <x:c r="P61" s="10" t="str">
        <x:v>追加観点。Web根拠一覧参照。</x:v>
      </x:c>
    </x:row>
    <x:row r="62" ht="45" customHeight="1">
      <x:c r="A62" s="10" t="str">
        <x:v>1003P-34</x:v>
      </x:c>
      <x:c r="B62" s="10" t="str">
        <x:v>追加／境界</x:v>
      </x:c>
      <x:c r="C62" s="10" t="str">
        <x:v>機器一致キーによる更新差分</x:v>
      </x:c>
      <x:c r="D62" s="10" t="str">
        <x:v>品名は同じで機器キーが異なるもの、数量増減、旧期間のみのものを準備。</x:v>
      </x:c>
      <x:c r="E62" s="10" t="str">
        <x:v>更新依頼書を出力し契約・継続・解約行を確認。</x:v>
      </x:c>
      <x:c r="F62" s="10" t="str">
        <x:v>名称だけで同じ機器と扱わず、キーと数量差分に対応する明細になる。旧期間は対象契約の有効な直前期間だけを参照する。</x:v>
      </x:c>
      <x:c r="G62" s="10" t="str">
        <x:v>－</x:v>
      </x:c>
      <x:c r="H62" s="10"/>
      <x:c r="I62" s="10"/>
      <x:c r="J62" s="13"/>
      <x:c r="K62" s="10"/>
      <x:c r="L62" s="10"/>
      <x:c r="M62" s="10"/>
      <x:c r="N62" s="13"/>
      <x:c r="O62" s="10" t="str">
        <x:f>IF(L62&lt;&gt;"",L62,IF(H62="","未実施",H62))</x:f>
        <x:v>未実施</x:v>
      </x:c>
      <x:c r="P62" s="10" t="str">
        <x:v>追加観点。Web根拠一覧参照。</x:v>
      </x:c>
    </x:row>
  </x:sheetData>
  <x:mergeCells>
    <x:mergeCell ref="A1:P1"/>
    <x:mergeCell ref="A3:C3"/>
    <x:mergeCell ref="D3:P3"/>
    <x:mergeCell ref="A4:C4"/>
    <x:mergeCell ref="D4:P4"/>
    <x:mergeCell ref="A6:P6"/>
    <x:mergeCell ref="A7:C7"/>
    <x:mergeCell ref="D7:P7"/>
    <x:mergeCell ref="A8:C8"/>
    <x:mergeCell ref="D8:P8"/>
    <x:mergeCell ref="A9:C9"/>
    <x:mergeCell ref="D9:P9"/>
    <x:mergeCell ref="A10:C10"/>
    <x:mergeCell ref="D10:P10"/>
    <x:mergeCell ref="A14:P14"/>
    <x:mergeCell ref="A16:C16"/>
    <x:mergeCell ref="D16:P16"/>
    <x:mergeCell ref="A17:C17"/>
    <x:mergeCell ref="D17:P17"/>
    <x:mergeCell ref="A18:C18"/>
    <x:mergeCell ref="D18:P18"/>
    <x:mergeCell ref="A20:C20"/>
    <x:mergeCell ref="D20:P20"/>
    <x:mergeCell ref="A26:P26"/>
  </x:mergeCells>
  <x:dataValidations count="2">
    <x:dataValidation type="list" sqref="H29:H62">
      <x:formula1>"未実施,OK,NG,保留,対象外"</x:formula1>
    </x:dataValidation>
    <x:dataValidation type="list" sqref="L29:L62">
      <x:formula1>"未実施,OK,NG,保留,対象外"</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pane ySplit="27" topLeftCell="A28" activePane="bottomLeft" state="frozen"/>
    </x:sheetView>
  </x:sheetViews>
  <x:sheetFormatPr defaultRowHeight="15"/>
  <x:cols>
    <x:col min="1" max="1" width="13" hidden="0" customWidth="1"/>
    <x:col min="2" max="2" width="14" hidden="0" customWidth="1"/>
    <x:col min="3" max="3" width="44" hidden="0" customWidth="1"/>
    <x:col min="4" max="4" width="52" hidden="0" customWidth="1"/>
    <x:col min="5" max="5" width="60" hidden="0" customWidth="1"/>
    <x:col min="6" max="6" width="64" hidden="0" customWidth="1"/>
    <x:col min="7" max="7" width="40" hidden="0" customWidth="1"/>
    <x:col min="8" max="8" width="12" hidden="0" customWidth="1"/>
    <x:col min="9" max="9" width="14" hidden="0" customWidth="1"/>
    <x:col min="10" max="10" width="15" hidden="0" customWidth="1"/>
    <x:col min="11" max="11" width="40" hidden="0" customWidth="1"/>
    <x:col min="12" max="12" width="14" hidden="0" customWidth="1"/>
    <x:col min="13" max="13" width="17" hidden="0" customWidth="1"/>
    <x:col min="14" max="14" width="17" hidden="0" customWidth="1"/>
    <x:col min="15" max="15" width="13" hidden="0" customWidth="1"/>
    <x:col min="16" max="16" width="54" hidden="0" customWidth="1"/>
  </x:cols>
  <x:sheetData>
    <x:row r="1" ht="26" customHeight="1">
      <x:c r="A1" s="4" t="str">
        <x:v>MCM0001P_DTS連携情報一覧 単体テスト仕様書</x:v>
      </x:c>
      <x:c r="B1" s="4"/>
      <x:c r="C1" s="4"/>
      <x:c r="D1" s="4"/>
      <x:c r="E1" s="4"/>
      <x:c r="F1" s="4"/>
      <x:c r="G1" s="4"/>
      <x:c r="H1" s="4"/>
      <x:c r="I1" s="4"/>
      <x:c r="J1" s="4"/>
      <x:c r="K1" s="4"/>
      <x:c r="L1" s="4"/>
      <x:c r="M1" s="4"/>
      <x:c r="N1" s="4"/>
      <x:c r="O1" s="4"/>
      <x:c r="P1" s="4"/>
    </x:row>
    <x:row r="2">
      <x:c r="A2" s="3"/>
      <x:c r="B2" s="3"/>
      <x:c r="C2" s="3"/>
      <x:c r="D2" s="3"/>
      <x:c r="E2" s="3"/>
      <x:c r="F2" s="3"/>
      <x:c r="G2" s="3"/>
      <x:c r="H2" s="3"/>
      <x:c r="I2" s="3"/>
      <x:c r="J2" s="3"/>
      <x:c r="K2" s="3"/>
      <x:c r="L2" s="3"/>
      <x:c r="M2" s="3"/>
      <x:c r="N2" s="3"/>
      <x:c r="O2" s="3"/>
      <x:c r="P2" s="3"/>
    </x:row>
    <x:row r="3" ht="34" customHeight="1">
      <x:c r="A3" s="3" t="str">
        <x:v>画面情報</x:v>
      </x:c>
      <x:c r="B3" s="3"/>
      <x:c r="C3" s="3"/>
      <x:c r="D3" s="3" t="str">
        <x:v>起点：DTS連携・契約自動更新ログ（MCM0020U）で検索後「Excel出力」。</x:v>
      </x:c>
      <x:c r="E3" s="3"/>
      <x:c r="F3" s="3"/>
      <x:c r="G3" s="3"/>
      <x:c r="H3" s="3"/>
      <x:c r="I3" s="3"/>
      <x:c r="J3" s="3"/>
      <x:c r="K3" s="3"/>
      <x:c r="L3" s="3"/>
      <x:c r="M3" s="3"/>
      <x:c r="N3" s="3"/>
      <x:c r="O3" s="3"/>
      <x:c r="P3" s="3"/>
    </x:row>
    <x:row r="4" ht="48" customHeight="1">
      <x:c r="A4" s="3" t="str">
        <x:v>出力形式・名称</x:v>
      </x:c>
      <x:c r="B4" s="3"/>
      <x:c r="C4" s="3"/>
      <x:c r="D4" s="3" t="str">
        <x:v>取得形式／名前：DTS連携情報一覧.xlsx。共通W01〜W06も実施する。</x:v>
      </x:c>
      <x:c r="E4" s="3"/>
      <x:c r="F4" s="3"/>
      <x:c r="G4" s="3"/>
      <x:c r="H4" s="3"/>
      <x:c r="I4" s="3"/>
      <x:c r="J4" s="3"/>
      <x:c r="K4" s="3"/>
      <x:c r="L4" s="3"/>
      <x:c r="M4" s="3"/>
      <x:c r="N4" s="3"/>
      <x:c r="O4" s="3"/>
      <x:c r="P4" s="3"/>
    </x:row>
    <x:row r="5">
      <x:c r="A5" s="3"/>
      <x:c r="B5" s="3"/>
      <x:c r="C5" s="3"/>
      <x:c r="D5" s="3"/>
      <x:c r="E5" s="3"/>
      <x:c r="F5" s="3"/>
      <x:c r="G5" s="3"/>
      <x:c r="H5" s="3"/>
      <x:c r="I5" s="3"/>
      <x:c r="J5" s="3"/>
      <x:c r="K5" s="3"/>
      <x:c r="L5" s="3"/>
      <x:c r="M5" s="3"/>
      <x:c r="N5" s="3"/>
      <x:c r="O5" s="3"/>
      <x:c r="P5" s="3"/>
    </x:row>
    <x:row r="6">
      <x:c r="A6" s="6" t="str">
        <x:v>根拠ソース</x:v>
      </x:c>
      <x:c r="B6" s="6" t="str">
        <x:v>根拠ソース</x:v>
      </x:c>
      <x:c r="C6" s="6" t="str">
        <x:v>根拠ソース</x:v>
      </x:c>
      <x:c r="D6" s="6" t="str">
        <x:v>根拠ソース</x:v>
      </x:c>
      <x:c r="E6" s="6" t="str">
        <x:v>根拠ソース</x:v>
      </x:c>
      <x:c r="F6" s="6" t="str">
        <x:v>根拠ソース</x:v>
      </x:c>
      <x:c r="G6" s="6" t="str">
        <x:v>根拠ソース</x:v>
      </x:c>
      <x:c r="H6" s="6" t="str">
        <x:v>根拠ソース</x:v>
      </x:c>
      <x:c r="I6" s="6" t="str">
        <x:v>根拠ソース</x:v>
      </x:c>
      <x:c r="J6" s="6" t="str">
        <x:v>根拠ソース</x:v>
      </x:c>
      <x:c r="K6" s="6" t="str">
        <x:v>根拠ソース</x:v>
      </x:c>
      <x:c r="L6" s="6" t="str">
        <x:v>根拠ソース</x:v>
      </x:c>
      <x:c r="M6" s="6" t="str">
        <x:v>根拠ソース</x:v>
      </x:c>
      <x:c r="N6" s="6" t="str">
        <x:v>根拠ソース</x:v>
      </x:c>
      <x:c r="O6" s="6" t="str">
        <x:v>根拠ソース</x:v>
      </x:c>
      <x:c r="P6" s="6" t="str">
        <x:v>根拠ソース</x:v>
      </x:c>
    </x:row>
    <x:row r="7" ht="26" customHeight="1">
      <x:c r="A7" s="3" t="str">
        <x:v>VB版</x:v>
      </x:c>
      <x:c r="B7" s="3"/>
      <x:c r="C7" s="3"/>
      <x:c r="D7" s="3" t="str">
        <x:v>帳票のExcel.vb・Constant.vb／起動元イベント。既知不具合は再現を合格にしない。</x:v>
      </x:c>
      <x:c r="E7" s="3"/>
      <x:c r="F7" s="3"/>
      <x:c r="G7" s="3"/>
      <x:c r="H7" s="3"/>
      <x:c r="I7" s="3"/>
      <x:c r="J7" s="3"/>
      <x:c r="K7" s="3"/>
      <x:c r="L7" s="3"/>
      <x:c r="M7" s="3"/>
      <x:c r="N7" s="3"/>
      <x:c r="O7" s="3"/>
      <x:c r="P7" s="3"/>
    </x:row>
    <x:row r="8" ht="26" customHeight="1">
      <x:c r="A8" s="3" t="str">
        <x:v>Java版</x:v>
      </x:c>
      <x:c r="B8" s="3"/>
      <x:c r="C8" s="3"/>
      <x:c r="D8" s="3" t="str">
        <x:v>最新Webの帳票Service・起動元Controller。本文の備考／根拠欄とMD末尾を参照。</x:v>
      </x:c>
      <x:c r="E8" s="3"/>
      <x:c r="F8" s="3"/>
      <x:c r="G8" s="3"/>
      <x:c r="H8" s="3"/>
      <x:c r="I8" s="3"/>
      <x:c r="J8" s="3"/>
      <x:c r="K8" s="3"/>
      <x:c r="L8" s="3"/>
      <x:c r="M8" s="3"/>
      <x:c r="N8" s="3"/>
      <x:c r="O8" s="3"/>
      <x:c r="P8" s="3"/>
    </x:row>
    <x:row r="9" ht="26" customHeight="1">
      <x:c r="A9" s="3" t="str">
        <x:v>メッセージ</x:v>
      </x:c>
      <x:c r="B9" s="3"/>
      <x:c r="C9" s="3"/>
      <x:c r="D9" s="3" t="str">
        <x:v>Web画面の通知で判断。VBのネイティブダイアログ・Excel自動起動を要求しない。</x:v>
      </x:c>
      <x:c r="E9" s="3"/>
      <x:c r="F9" s="3"/>
      <x:c r="G9" s="3"/>
      <x:c r="H9" s="3"/>
      <x:c r="I9" s="3"/>
      <x:c r="J9" s="3"/>
      <x:c r="K9" s="3"/>
      <x:c r="L9" s="3"/>
      <x:c r="M9" s="3"/>
      <x:c r="N9" s="3"/>
      <x:c r="O9" s="3"/>
      <x:c r="P9" s="3"/>
    </x:row>
    <x:row r="10" ht="26" customHeight="1">
      <x:c r="A10" s="3" t="str">
        <x:v>参照資料</x:v>
      </x:c>
      <x:c r="B10" s="3"/>
      <x:c r="C10" s="3"/>
      <x:c r="D10" s="3" t="str">
        <x:v>同梱MDの共通確認・F01〜F04・Q01〜Q06。正式な実機確認結果はこれから記入する。</x:v>
      </x:c>
      <x:c r="E10" s="3"/>
      <x:c r="F10" s="3"/>
      <x:c r="G10" s="3"/>
      <x:c r="H10" s="3"/>
      <x:c r="I10" s="3"/>
      <x:c r="J10" s="3"/>
      <x:c r="K10" s="3"/>
      <x:c r="L10" s="3"/>
      <x:c r="M10" s="3"/>
      <x:c r="N10" s="3"/>
      <x:c r="O10" s="3"/>
      <x:c r="P10" s="3"/>
    </x:row>
    <x:row r="11">
      <x:c r="A11" s="3"/>
      <x:c r="B11" s="3"/>
      <x:c r="C11" s="3"/>
      <x:c r="D11" s="3"/>
      <x:c r="E11" s="3"/>
      <x:c r="F11" s="3"/>
      <x:c r="G11" s="3"/>
      <x:c r="H11" s="3"/>
      <x:c r="I11" s="3"/>
      <x:c r="J11" s="3"/>
      <x:c r="K11" s="3"/>
      <x:c r="L11" s="3"/>
      <x:c r="M11" s="3"/>
      <x:c r="N11" s="3"/>
      <x:c r="O11" s="3"/>
      <x:c r="P11" s="3"/>
    </x:row>
    <x:row r="12">
      <x:c r="A12" s="3"/>
      <x:c r="B12" s="3"/>
      <x:c r="C12" s="3"/>
      <x:c r="D12" s="3"/>
      <x:c r="E12" s="3"/>
      <x:c r="F12" s="3"/>
      <x:c r="G12" s="3"/>
      <x:c r="H12" s="3"/>
      <x:c r="I12" s="3"/>
      <x:c r="J12" s="3"/>
      <x:c r="K12" s="3"/>
      <x:c r="L12" s="3"/>
      <x:c r="M12" s="3"/>
      <x:c r="N12" s="3"/>
      <x:c r="O12" s="3"/>
      <x:c r="P12" s="3"/>
    </x:row>
    <x:row r="13">
      <x:c r="A13" s="3"/>
      <x:c r="B13" s="3"/>
      <x:c r="C13" s="3"/>
      <x:c r="D13" s="3"/>
      <x:c r="E13" s="3"/>
      <x:c r="F13" s="3"/>
      <x:c r="G13" s="3"/>
      <x:c r="H13" s="3"/>
      <x:c r="I13" s="3"/>
      <x:c r="J13" s="3"/>
      <x:c r="K13" s="3"/>
      <x:c r="L13" s="3"/>
      <x:c r="M13" s="3"/>
      <x:c r="N13" s="3"/>
      <x:c r="O13" s="3"/>
      <x:c r="P13" s="3"/>
    </x:row>
    <x:row r="14">
      <x:c r="A14" s="6" t="str">
        <x:v>機能一覧</x:v>
      </x:c>
      <x:c r="B14" s="6" t="str">
        <x:v>機能一覧</x:v>
      </x:c>
      <x:c r="C14" s="6" t="str">
        <x:v>機能一覧</x:v>
      </x:c>
      <x:c r="D14" s="6" t="str">
        <x:v>機能一覧</x:v>
      </x:c>
      <x:c r="E14" s="6" t="str">
        <x:v>機能一覧</x:v>
      </x:c>
      <x:c r="F14" s="6" t="str">
        <x:v>機能一覧</x:v>
      </x:c>
      <x:c r="G14" s="6" t="str">
        <x:v>機能一覧</x:v>
      </x:c>
      <x:c r="H14" s="6" t="str">
        <x:v>機能一覧</x:v>
      </x:c>
      <x:c r="I14" s="6" t="str">
        <x:v>機能一覧</x:v>
      </x:c>
      <x:c r="J14" s="6" t="str">
        <x:v>機能一覧</x:v>
      </x:c>
      <x:c r="K14" s="6" t="str">
        <x:v>機能一覧</x:v>
      </x:c>
      <x:c r="L14" s="6" t="str">
        <x:v>機能一覧</x:v>
      </x:c>
      <x:c r="M14" s="6" t="str">
        <x:v>機能一覧</x:v>
      </x:c>
      <x:c r="N14" s="6" t="str">
        <x:v>機能一覧</x:v>
      </x:c>
      <x:c r="O14" s="6" t="str">
        <x:v>機能一覧</x:v>
      </x:c>
      <x:c r="P14" s="6" t="str">
        <x:v>機能一覧</x:v>
      </x:c>
    </x:row>
    <x:row r="15">
      <x:c r="A15" s="3"/>
      <x:c r="B15" s="3"/>
      <x:c r="C15" s="3"/>
      <x:c r="D15" s="3"/>
      <x:c r="E15" s="3"/>
      <x:c r="F15" s="3"/>
      <x:c r="G15" s="3"/>
      <x:c r="H15" s="3"/>
      <x:c r="I15" s="3"/>
      <x:c r="J15" s="3"/>
      <x:c r="K15" s="3"/>
      <x:c r="L15" s="3"/>
      <x:c r="M15" s="3"/>
      <x:c r="N15" s="3"/>
      <x:c r="O15" s="3"/>
      <x:c r="P15" s="3"/>
    </x:row>
    <x:row r="16" ht="26" customHeight="1">
      <x:c r="A16" s="3" t="str">
        <x:v>1</x:v>
      </x:c>
      <x:c r="B16" s="3"/>
      <x:c r="C16" s="3"/>
      <x:c r="D16" s="3" t="str">
        <x:v>帳票の対象・項目・シート構成・表示書式・印刷の確認</x:v>
      </x:c>
      <x:c r="E16" s="3"/>
      <x:c r="F16" s="3"/>
      <x:c r="G16" s="3"/>
      <x:c r="H16" s="3"/>
      <x:c r="I16" s="3"/>
      <x:c r="J16" s="3"/>
      <x:c r="K16" s="3"/>
      <x:c r="L16" s="3"/>
      <x:c r="M16" s="3"/>
      <x:c r="N16" s="3"/>
      <x:c r="O16" s="3"/>
      <x:c r="P16" s="3"/>
    </x:row>
    <x:row r="17" ht="26" customHeight="1">
      <x:c r="A17" s="3" t="str">
        <x:v>2</x:v>
      </x:c>
      <x:c r="B17" s="3"/>
      <x:c r="C17" s="3"/>
      <x:c r="D17" s="3" t="str">
        <x:v>0件・入力不備・権限・失敗・境界・計算条件の確認</x:v>
      </x:c>
      <x:c r="E17" s="3"/>
      <x:c r="F17" s="3"/>
      <x:c r="G17" s="3"/>
      <x:c r="H17" s="3"/>
      <x:c r="I17" s="3"/>
      <x:c r="J17" s="3"/>
      <x:c r="K17" s="3"/>
      <x:c r="L17" s="3"/>
      <x:c r="M17" s="3"/>
      <x:c r="N17" s="3"/>
      <x:c r="O17" s="3"/>
      <x:c r="P17" s="3"/>
    </x:row>
    <x:row r="18" ht="26" customHeight="1">
      <x:c r="A18" s="3" t="str">
        <x:v>3</x:v>
      </x:c>
      <x:c r="B18" s="3"/>
      <x:c r="C18" s="3"/>
      <x:c r="D18" s="3" t="str">
        <x:v>共通確認を関連ケースで実施し、重複する取得操作は再利用</x:v>
      </x:c>
      <x:c r="E18" s="3"/>
      <x:c r="F18" s="3"/>
      <x:c r="G18" s="3"/>
      <x:c r="H18" s="3"/>
      <x:c r="I18" s="3"/>
      <x:c r="J18" s="3"/>
      <x:c r="K18" s="3"/>
      <x:c r="L18" s="3"/>
      <x:c r="M18" s="3"/>
      <x:c r="N18" s="3"/>
      <x:c r="O18" s="3"/>
      <x:c r="P18" s="3"/>
    </x:row>
    <x:row r="19">
      <x:c r="A19" s="3"/>
      <x:c r="B19" s="3"/>
      <x:c r="C19" s="3"/>
      <x:c r="D19" s="3"/>
      <x:c r="E19" s="3"/>
      <x:c r="F19" s="3"/>
      <x:c r="G19" s="3"/>
      <x:c r="H19" s="3"/>
      <x:c r="I19" s="3"/>
      <x:c r="J19" s="3"/>
      <x:c r="K19" s="3"/>
      <x:c r="L19" s="3"/>
      <x:c r="M19" s="3"/>
      <x:c r="N19" s="3"/>
      <x:c r="O19" s="3"/>
      <x:c r="P19" s="3"/>
    </x:row>
    <x:row r="20" ht="30" customHeight="1">
      <x:c r="A20" s="3" t="str">
        <x:v>分類</x:v>
      </x:c>
      <x:c r="B20" s="3"/>
      <x:c r="C20" s="3"/>
      <x:c r="D20" s="3" t="str">
        <x:v>出力起点／帳票レイアウト／一覧出力／権限／0件／シート／追加／境界</x:v>
      </x:c>
      <x:c r="E20" s="3"/>
      <x:c r="F20" s="3"/>
      <x:c r="G20" s="3"/>
      <x:c r="H20" s="3"/>
      <x:c r="I20" s="3"/>
      <x:c r="J20" s="3"/>
      <x:c r="K20" s="3"/>
      <x:c r="L20" s="3"/>
      <x:c r="M20" s="3"/>
      <x:c r="N20" s="3"/>
      <x:c r="O20" s="3"/>
      <x:c r="P20" s="3"/>
    </x:row>
    <x:row r="21">
      <x:c r="A21" s="3"/>
      <x:c r="B21" s="3"/>
      <x:c r="C21" s="3"/>
      <x:c r="D21" s="3"/>
      <x:c r="E21" s="3"/>
      <x:c r="F21" s="3"/>
      <x:c r="G21" s="3"/>
      <x:c r="H21" s="3"/>
      <x:c r="I21" s="3"/>
      <x:c r="J21" s="3"/>
      <x:c r="K21" s="3"/>
      <x:c r="L21" s="3"/>
      <x:c r="M21" s="3"/>
      <x:c r="N21" s="3"/>
      <x:c r="O21" s="3"/>
      <x:c r="P21" s="3"/>
    </x:row>
    <x:row r="22">
      <x:c r="A22" s="3"/>
      <x:c r="B22" s="3"/>
      <x:c r="C22" s="3"/>
      <x:c r="D22" s="3"/>
      <x:c r="E22" s="3"/>
      <x:c r="F22" s="3"/>
      <x:c r="G22" s="3"/>
      <x:c r="H22" s="3"/>
      <x:c r="I22" s="3"/>
      <x:c r="J22" s="3"/>
      <x:c r="K22" s="3"/>
      <x:c r="L22" s="3"/>
      <x:c r="M22" s="3"/>
      <x:c r="N22" s="3"/>
      <x:c r="O22" s="3"/>
      <x:c r="P22" s="3"/>
    </x:row>
    <x:row r="23">
      <x:c r="A23" s="3" t="str">
        <x:v>件数</x:v>
      </x:c>
      <x:c r="B23" s="3" t="n">
        <x:f>COUNTA(A29:A42)</x:f>
        <x:v>14</x:v>
      </x:c>
      <x:c r="C23" s="3" t="str">
        <x:v>OK</x:v>
      </x:c>
      <x:c r="D23" s="3" t="n">
        <x:f>COUNTIF(O29:O42,"OK")</x:f>
        <x:v>0</x:v>
      </x:c>
      <x:c r="E23" s="3" t="str">
        <x:v>NG</x:v>
      </x:c>
      <x:c r="F23" s="3" t="n">
        <x:f>COUNTIF(O29:O42,"NG")</x:f>
        <x:v>0</x:v>
      </x:c>
      <x:c r="G23" s="3" t="str">
        <x:v>未実施</x:v>
      </x:c>
      <x:c r="H23" s="3" t="n">
        <x:f>COUNTIF(O29:O42,"未実施")</x:f>
        <x:v>14</x:v>
      </x:c>
      <x:c r="I23" s="3"/>
      <x:c r="J23" s="3"/>
      <x:c r="K23" s="3"/>
      <x:c r="L23" s="3"/>
      <x:c r="M23" s="3"/>
      <x:c r="N23" s="3"/>
      <x:c r="O23" s="3"/>
      <x:c r="P23" s="3"/>
    </x:row>
    <x:row r="24">
      <x:c r="A24" s="3"/>
      <x:c r="B24" s="3"/>
      <x:c r="C24" s="3"/>
      <x:c r="D24" s="3"/>
      <x:c r="E24" s="3"/>
      <x:c r="F24" s="3"/>
      <x:c r="G24" s="3"/>
      <x:c r="H24" s="3"/>
      <x:c r="I24" s="3"/>
      <x:c r="J24" s="3"/>
      <x:c r="K24" s="3"/>
      <x:c r="L24" s="3"/>
      <x:c r="M24" s="3"/>
      <x:c r="N24" s="3"/>
      <x:c r="O24" s="3"/>
      <x:c r="P24" s="3"/>
    </x:row>
    <x:row r="25">
      <x:c r="A25" s="3"/>
      <x:c r="B25" s="3"/>
      <x:c r="C25" s="3"/>
      <x:c r="D25" s="3"/>
      <x:c r="E25" s="3"/>
      <x:c r="F25" s="3"/>
      <x:c r="G25" s="3"/>
      <x:c r="H25" s="3"/>
      <x:c r="I25" s="3"/>
      <x:c r="J25" s="3"/>
      <x:c r="K25" s="3"/>
      <x:c r="L25" s="3"/>
      <x:c r="M25" s="3"/>
      <x:c r="N25" s="3"/>
      <x:c r="O25" s="3"/>
      <x:c r="P25" s="3"/>
    </x:row>
    <x:row r="26">
      <x:c r="A26" s="6" t="str">
        <x:v>単体テストケース</x:v>
      </x:c>
      <x:c r="B26" s="6" t="str">
        <x:v>単体テストケース</x:v>
      </x:c>
      <x:c r="C26" s="6" t="str">
        <x:v>単体テストケース</x:v>
      </x:c>
      <x:c r="D26" s="6" t="str">
        <x:v>単体テストケース</x:v>
      </x:c>
      <x:c r="E26" s="6" t="str">
        <x:v>単体テストケース</x:v>
      </x:c>
      <x:c r="F26" s="6" t="str">
        <x:v>単体テストケース</x:v>
      </x:c>
      <x:c r="G26" s="6" t="str">
        <x:v>単体テストケース</x:v>
      </x:c>
      <x:c r="H26" s="6" t="str">
        <x:v>単体テストケース</x:v>
      </x:c>
      <x:c r="I26" s="6" t="str">
        <x:v>単体テストケース</x:v>
      </x:c>
      <x:c r="J26" s="6" t="str">
        <x:v>単体テストケース</x:v>
      </x:c>
      <x:c r="K26" s="6" t="str">
        <x:v>単体テストケース</x:v>
      </x:c>
      <x:c r="L26" s="6" t="str">
        <x:v>単体テストケース</x:v>
      </x:c>
      <x:c r="M26" s="6" t="str">
        <x:v>単体テストケース</x:v>
      </x:c>
      <x:c r="N26" s="6" t="str">
        <x:v>単体テストケース</x:v>
      </x:c>
      <x:c r="O26" s="6" t="str">
        <x:v>単体テストケース</x:v>
      </x:c>
      <x:c r="P26" s="6" t="str">
        <x:v>単体テストケース</x:v>
      </x:c>
    </x:row>
    <x:row r="27" ht="28" customHeight="1">
      <x:c r="A27" s="9" t="str">
        <x:v>項番</x:v>
      </x:c>
      <x:c r="B27" s="9" t="str">
        <x:v>分類</x:v>
      </x:c>
      <x:c r="C27" s="9" t="str">
        <x:v>テスト項目</x:v>
      </x:c>
      <x:c r="D27" s="9" t="str">
        <x:v>前提条件</x:v>
      </x:c>
      <x:c r="E27" s="9" t="str">
        <x:v>操作内容(入力値)</x:v>
      </x:c>
      <x:c r="F27" s="9" t="str">
        <x:v>期待結果</x:v>
      </x:c>
      <x:c r="G27" s="9" t="str">
        <x:v>期待メッセージ</x:v>
      </x:c>
      <x:c r="H27" s="9" t="str">
        <x:v>テスト結果</x:v>
      </x:c>
      <x:c r="I27" s="9" t="str">
        <x:v>実施者</x:v>
      </x:c>
      <x:c r="J27" s="9" t="str">
        <x:v>実施日</x:v>
      </x:c>
      <x:c r="K27" s="9" t="str">
        <x:v>不具合内容</x:v>
      </x:c>
      <x:c r="L27" s="9" t="str">
        <x:v>再テスト結果</x:v>
      </x:c>
      <x:c r="M27" s="9" t="str">
        <x:v>再テスト実施者</x:v>
      </x:c>
      <x:c r="N27" s="9" t="str">
        <x:v>再テスト実施日</x:v>
      </x:c>
      <x:c r="O27" s="9" t="str">
        <x:v>最終判定</x:v>
      </x:c>
      <x:c r="P27" s="9" t="str">
        <x:v>備考／根拠</x:v>
      </x:c>
    </x:row>
    <x:row r="28">
      <x:c r="A28" s="3"/>
      <x:c r="B28" s="3"/>
      <x:c r="C28" s="3"/>
      <x:c r="D28" s="3"/>
      <x:c r="E28" s="3"/>
      <x:c r="F28" s="3"/>
      <x:c r="G28" s="3"/>
      <x:c r="H28" s="3"/>
      <x:c r="I28" s="3"/>
      <x:c r="J28" s="3"/>
      <x:c r="K28" s="3"/>
      <x:c r="L28" s="3"/>
      <x:c r="M28" s="3"/>
      <x:c r="N28" s="3"/>
      <x:c r="O28" s="3"/>
      <x:c r="P28" s="3"/>
    </x:row>
    <x:row r="29" ht="78" customHeight="1">
      <x:c r="A29" s="10" t="str">
        <x:v>0001P-1</x:v>
      </x:c>
      <x:c r="B29" s="10" t="str">
        <x:v>出力起点</x:v>
      </x:c>
      <x:c r="C29" s="10" t="str">
        <x:v>DTS連携情報一覧：Web画面から帳票を取得する</x:v>
      </x:c>
      <x:c r="D29" s="10" t="str">
        <x:v>【前提条件】
・共通の前提のとおり。</x:v>
      </x:c>
      <x:c r="E29" s="10" t="str">
        <x:v>1. 本章の前提を準備する。
2. DTS連携・契約自動更新ログ（MCM0020U）で検索後「Excel出力」を実施する。
3. W01に従いダウンロード履歴と取得ファイル名を確認する。
4. 対象ファイルを手動で開く。</x:v>
      </x:c>
      <x:c r="F29" s="10" t="str">
        <x:v>出力対象がある正常条件で、対象帳票を取得でき、Excelで開ける。ダウンロード名：DTS連携情報一覧.xlsx。拡張子とブック形式が一致し、Excelの形式不一致警告が出ない。Excel自動起動・ネイティブ保存画面は必須ではない。</x:v>
      </x:c>
      <x:c r="G29" s="10" t="str">
        <x:v>－</x:v>
      </x:c>
      <x:c r="H29" s="10"/>
      <x:c r="I29" s="10"/>
      <x:c r="J29" s="13"/>
      <x:c r="K29" s="10"/>
      <x:c r="L29" s="10"/>
      <x:c r="M29" s="10"/>
      <x:c r="N29" s="13"/>
      <x:c r="O29" s="10" t="str">
        <x:f>IF(L29&lt;&gt;"",L29,IF(H29="","未実施",H29))</x:f>
        <x:v>未実施</x:v>
      </x:c>
      <x:c r="P29" s="10" t="str">
        <x:v>Web根拠：Mcm0001pExcelService.java／Mcm0020uController.java。VB比較対象：Mcm0001pExcel.vb・Constant.vbと起動元画面。対応する機能条件は末尾の根拠一覧参照。</x:v>
      </x:c>
    </x:row>
    <x:row r="30" ht="64" customHeight="1">
      <x:c r="A30" s="10" t="str">
        <x:v>0001P-2</x:v>
      </x:c>
      <x:c r="B30" s="10" t="str">
        <x:v>出力起点</x:v>
      </x:c>
      <x:c r="C30" s="10" t="str">
        <x:v>Web取得操作：ブラウザの保存をキャンセルする</x:v>
      </x:c>
      <x:c r="D30" s="10" t="str">
        <x:v>【前提条件】
・共通の前提のとおり。
・保存先に指定するフォルダに、DTS連携情報一覧のファイルがない。</x:v>
      </x:c>
      <x:c r="E30" s="10" t="str">
        <x:v>1. 本章の正常条件で出力する。
2. ブラウザ設定を「保存先を毎回確認」にし、保存をキャンセルする。
3. ダウンロード履歴・保存先・発行元の状態を確認する。</x:v>
      </x:c>
      <x:c r="F30" s="10" t="str">
        <x:v>キャンセルしたファイルが利用者PCに保存されない。Excelの自動起動は要求しない。ブラウザのキャンセルはアプリの発行取消ではなく、先に完了した登録・状態変更を戻さない。再取得の可否は各帳票の再発行条件に従う。</x:v>
      </x:c>
      <x:c r="G30" s="10" t="str">
        <x:v>－</x:v>
      </x:c>
      <x:c r="H30" s="10"/>
      <x:c r="I30" s="10"/>
      <x:c r="J30" s="13"/>
      <x:c r="K30" s="10"/>
      <x:c r="L30" s="10"/>
      <x:c r="M30" s="10"/>
      <x:c r="N30" s="13"/>
      <x:c r="O30" s="10" t="str">
        <x:f>IF(L30&lt;&gt;"",L30,IF(H30="","未実施",H30))</x:f>
        <x:v>未実施</x:v>
      </x:c>
      <x:c r="P30" s="10" t="str">
        <x:v>W02。2001Pは発行処理の確認取消（2001P-40）と区別。3001P／3005Pは同一ZIPの取得取消であり、帳票別の保存ダイアログはない。</x:v>
      </x:c>
    </x:row>
    <x:row r="31" ht="120" customHeight="1">
      <x:c r="A31" s="10" t="str">
        <x:v>0001P-3</x:v>
      </x:c>
      <x:c r="B31" s="10" t="str">
        <x:v>帳票レイアウト</x:v>
      </x:c>
      <x:c r="C31" s="10" t="str">
        <x:v>DTS連携情報一覧：見出し行と出力される列</x:v>
      </x:c>
      <x:c r="D31" s="10" t="str">
        <x:v>【前提条件】
・共通の前提のとおり。</x:v>
      </x:c>
      <x:c r="E31" s="10" t="str">
        <x:v>1. メニュー(MCM0001U)で「DTS連携・契約自動更新ログ」ボタンを押下し、MCM0020Uを表示する。
2. ログがある日付を「ログ出力日」の開始に入力して「検索」ボタンを押下する。
3. 取得したファイルを手動で開いたExcelを確認する。
4. 共通手順W01に従い対象ファイルを取得し、Excelで開いて本ケースの期待結果を確認する。異常系はファイルが取得されないことを確認する。</x:v>
      </x:c>
      <x:c r="F31" s="10" t="str">
        <x:v>1. 1行目に、左から「ログ出力日」「納入先コード」「納入先名」「サポートID」「プラント名」「内容」の6個の見出しが並ぶ（「サポートID」は1列だけ）。
2. 「プラントID」「納入先ID」の列が出力されていない（7列目以降に値がない）。
3. 1行目の見出しの各セルに背景色（薄い水色）が付いている。
4. 見出しとデータの全セルに罫線が付いている。
5. 2行目以降がデータ行である。</x:v>
      </x:c>
      <x:c r="G31" s="10" t="str">
        <x:v>－</x:v>
      </x:c>
      <x:c r="H31" s="10"/>
      <x:c r="I31" s="10"/>
      <x:c r="J31" s="13"/>
      <x:c r="K31" s="10"/>
      <x:c r="L31" s="10"/>
      <x:c r="M31" s="10"/>
      <x:c r="N31" s="13"/>
      <x:c r="O31" s="10" t="str">
        <x:f>IF(L31&lt;&gt;"",L31,IF(H31="","未実施",H31))</x:f>
        <x:v>未実施</x:v>
      </x:c>
      <x:c r="P31" s="10" t="str">
        <x:v>Web根拠：Mcm0001pExcelService.java／Mcm0020uController.java。VB比較対象：Mcm0001pExcel.vb・Constant.vbと起動元画面。対応する機能条件は末尾の根拠一覧参照。</x:v>
      </x:c>
    </x:row>
    <x:row r="32" ht="162" customHeight="1">
      <x:c r="A32" s="10" t="str">
        <x:v>0001P-4</x:v>
      </x:c>
      <x:c r="B32" s="10" t="str">
        <x:v>一覧出力</x:v>
      </x:c>
      <x:c r="C32" s="10" t="str">
        <x:v>DTS連携情報一覧：「DTSマスタ連携ログ」の検索結果が、画面の値のまま出力される</x:v>
      </x:c>
      <x:c r="D32" s="10" t="str">
        <x:v>【前提条件】
・共通の前提のとおり。
・検索結果が3件以上ある（納入先コードの先頭が「0」のデータを含む）。</x:v>
      </x:c>
      <x:c r="E32" s="10" t="str">
        <x:v>1. メニュー(MCM0001U)で「DTS連携・契約自動更新ログ」ボタンを押下し、MCM0020Uを表示する。
2. 「DTSマスタ連携ログ」が選択されていることを確認し、「ログ出力日」の開始に日付を入力して「検索」ボタンを押下する。
3. 一覧の全行の「ログ出力日」「納入先コード」「納入先名」「サポートID」「プラント名」「内容」を控える。
4. 取得したファイルを手動で開いたExcelの2行目から下を確認する。
5. 共通手順W01に従い対象ファイルを取得し、Excelで開いて本ケースの期待結果を確認する。異常系はファイルが取得されないことを確認する。</x:v>
      </x:c>
      <x:c r="F32" s="10" t="str">
        <x:v>1. データの行数が、画面の一覧の行数と同じである。
2. 各行の6つの列の値が、控えた一覧の値と一致する。
3. 「ログ出力日」が日付として「yyyy/MM/dd」の形式（例：2026/10/05）で表示される。
4. 「納入先コード」の先頭の「0」が消えずに表示される（例：04105A140）。
5. 行の並びが、画面の一覧の並びと同じである。</x:v>
      </x:c>
      <x:c r="G32" s="10" t="str">
        <x:v>－</x:v>
      </x:c>
      <x:c r="H32" s="10"/>
      <x:c r="I32" s="10"/>
      <x:c r="J32" s="13"/>
      <x:c r="K32" s="10"/>
      <x:c r="L32" s="10"/>
      <x:c r="M32" s="10"/>
      <x:c r="N32" s="13"/>
      <x:c r="O32" s="10" t="str">
        <x:f>IF(L32&lt;&gt;"",L32,IF(H32="","未実施",H32))</x:f>
        <x:v>未実施</x:v>
      </x:c>
      <x:c r="P32" s="10" t="str">
        <x:v>Web根拠：Mcm0001pExcelService.java／Mcm0020uController.java。VB比較対象：Mcm0001pExcel.vb・Constant.vbと起動元画面。対応する機能条件は末尾の根拠一覧参照。</x:v>
      </x:c>
    </x:row>
    <x:row r="33" ht="162" customHeight="1">
      <x:c r="A33" s="10" t="str">
        <x:v>0001P-5</x:v>
      </x:c>
      <x:c r="B33" s="10" t="str">
        <x:v>一覧出力</x:v>
      </x:c>
      <x:c r="C33" s="10" t="str">
        <x:v>DTS連携情報一覧：画面で並べ替えた場合は、並べ替え後の順で出力される</x:v>
      </x:c>
      <x:c r="D33" s="10" t="str">
        <x:v>【前提条件】
・共通の前提のとおり。
・検索結果が3件以上ある。</x:v>
      </x:c>
      <x:c r="E33" s="10" t="str">
        <x:v>1. メニュー(MCM0001U)で「DTS連携・契約自動更新ログ」ボタンを押下し、MCM0020Uを表示する。
2. ログがある日付を「ログ出力日」の開始に入力して「検索」ボタンを押下する。
3. 一覧の「納入先コード」の列見出しを押下して並べ替え、並びを控える。
4. 取得したファイルを手動で開いたExcelの行の並びを確認する。
5. 共通手順W01に従い対象ファイルを取得し、Excelで開いて本ケースの期待結果を確認する。異常系はファイルが取得されないことを確認する。</x:v>
      </x:c>
      <x:c r="F33" s="10" t="str">
        <x:v>1. Excelの行の並びが、手順3で並べ替えた後の画面の並びと同じである。</x:v>
      </x:c>
      <x:c r="G33" s="10" t="str">
        <x:v>－</x:v>
      </x:c>
      <x:c r="H33" s="10"/>
      <x:c r="I33" s="10"/>
      <x:c r="J33" s="13"/>
      <x:c r="K33" s="10"/>
      <x:c r="L33" s="10"/>
      <x:c r="M33" s="10"/>
      <x:c r="N33" s="13"/>
      <x:c r="O33" s="10" t="str">
        <x:f>IF(L33&lt;&gt;"",L33,IF(H33="","未実施",H33))</x:f>
        <x:v>未実施</x:v>
      </x:c>
      <x:c r="P33" s="10" t="str">
        <x:v>Web根拠：Mcm0001pExcelService.java／Mcm0020uController.java。VB比較対象：Mcm0001pExcel.vb・Constant.vbと起動元画面。対応する機能条件は末尾の根拠一覧参照。</x:v>
      </x:c>
    </x:row>
    <x:row r="34" ht="134" customHeight="1">
      <x:c r="A34" s="10" t="str">
        <x:v>0001P-6</x:v>
      </x:c>
      <x:c r="B34" s="10" t="str">
        <x:v>一覧出力</x:v>
      </x:c>
      <x:c r="C34" s="10" t="str">
        <x:v>DTS連携情報一覧：「DTSマスタ連携エラー」（現在状態）の検索結果が出力される</x:v>
      </x:c>
      <x:c r="D34" s="10" t="str">
        <x:v>【前提条件】
・DTSマスタにプラント情報が存在しない、機器構成のあるプラントが1件以上ある。</x:v>
      </x:c>
      <x:c r="E34" s="10" t="str">
        <x:v>1. メニュー(MCM0001U)で「DTS連携・契約自動更新ログ」ボタンを押下し、MCM0020Uを表示する。
2. 「DTSマスタ連携エラー」を選択し、「検索」ボタンを押下する。
3. 一覧の全行の値を控える。
4. 取得したファイルを手動で開いたExcelを確認する。
5. 共通手順W01に従い対象ファイルを取得し、Excelで開いて本ケースの期待結果を確認する。異常系はファイルが取得されないことを確認する。</x:v>
      </x:c>
      <x:c r="F34" s="10" t="str">
        <x:v>1. 1行目に6個の見出し（ログ出力日、納入先コード、納入先名、サポートID、プラント名、内容）がある。
2. データの行数と、各行の6つの列の値が、控えた一覧の値と一致する。
3. 「ログ出力日」が、操作した日の日付である。
4. 「内容」が、すべて「DTSマスタに当該プラント情報が存在していません」である。</x:v>
      </x:c>
      <x:c r="G34" s="10" t="str">
        <x:v>－</x:v>
      </x:c>
      <x:c r="H34" s="10"/>
      <x:c r="I34" s="10"/>
      <x:c r="J34" s="13"/>
      <x:c r="K34" s="10"/>
      <x:c r="L34" s="10"/>
      <x:c r="M34" s="10"/>
      <x:c r="N34" s="13"/>
      <x:c r="O34" s="10" t="str">
        <x:f>IF(L34&lt;&gt;"",L34,IF(H34="","未実施",H34))</x:f>
        <x:v>未実施</x:v>
      </x:c>
      <x:c r="P34" s="10" t="str">
        <x:v>Web根拠：Mcm0001pExcelService.java／Mcm0020uController.java。VB比較対象：Mcm0001pExcel.vb・Constant.vbと起動元画面。対応する機能条件は末尾の根拠一覧参照。</x:v>
      </x:c>
    </x:row>
    <x:row r="35" ht="148" customHeight="1">
      <x:c r="A35" s="10" t="str">
        <x:v>0001P-7</x:v>
      </x:c>
      <x:c r="B35" s="10" t="str">
        <x:v>権限</x:v>
      </x:c>
      <x:c r="C35" s="10" t="str">
        <x:v>DTS連携情報一覧：参照のみ権限のユーザーでも出力される（サポートIDは1列）</x:v>
      </x:c>
      <x:c r="D35" s="10" t="str">
        <x:v>【前提条件】
・ログインユーザーの「DTS連携・契約自動更新ログ」の画面権限が「参照」である。【要確認：参照権限のユーザーの用意】
・共通の前提のとおり。</x:v>
      </x:c>
      <x:c r="E35" s="10" t="str">
        <x:v>1. メニュー(MCM0001U)で「DTS連携・契約自動更新ログ」ボタンを押下し、MCM0020Uを表示する。
2. ログがある日付を「ログ出力日」の開始に入力して「検索」ボタンを押下する。
3. 「Excel出力」ボタンが押下できる状態であることを確認する。
4. 取得したファイルを手動で開いたExcelの1行目を確認する。
5. 共通手順W01に従い対象ファイルを取得し、Excelで開いて本ケースの期待結果を確認する。異常系はファイルが取得されないことを確認する。</x:v>
      </x:c>
      <x:c r="F35" s="10" t="str">
        <x:v>1. 「Excel出力」ボタンが活性（押下できる状態）である。
2. Excelが出力され、見出しが6個（「サポートID」は1列）である。</x:v>
      </x:c>
      <x:c r="G35" s="10" t="str">
        <x:v>－</x:v>
      </x:c>
      <x:c r="H35" s="10"/>
      <x:c r="I35" s="10"/>
      <x:c r="J35" s="13"/>
      <x:c r="K35" s="10"/>
      <x:c r="L35" s="10"/>
      <x:c r="M35" s="10"/>
      <x:c r="N35" s="13"/>
      <x:c r="O35" s="10" t="str">
        <x:f>IF(L35&lt;&gt;"",L35,IF(H35="","未実施",H35))</x:f>
        <x:v>未実施</x:v>
      </x:c>
      <x:c r="P35" s="10" t="str">
        <x:v>Web根拠：Mcm0001pExcelService.java／Mcm0020uController.java。VB比較対象：Mcm0001pExcel.vb・Constant.vbと起動元画面。対応する機能条件は末尾の根拠一覧参照。</x:v>
      </x:c>
    </x:row>
    <x:row r="36" ht="162" customHeight="1">
      <x:c r="A36" s="10" t="str">
        <x:v>0001P-8</x:v>
      </x:c>
      <x:c r="B36" s="10" t="str">
        <x:v>一覧出力</x:v>
      </x:c>
      <x:c r="C36" s="10" t="str">
        <x:v>DTS連携情報一覧：プラント名などが空の行は空欄で出力される</x:v>
      </x:c>
      <x:c r="D36" s="10" t="str">
        <x:v>【前提条件】
・共通の前提のとおり。
・検索結果に、プラント名または内容が空の行が含まれる。【要確認：そのデータが存在するか】</x:v>
      </x:c>
      <x:c r="E36" s="10" t="str">
        <x:v>1. メニュー(MCM0001U)で「DTS連携・契約自動更新ログ」ボタンを押下し、MCM0020Uを表示する。
2. ログがある日付を「ログ出力日」の開始に入力して「検索」ボタンを押下する。
3. 一覧で「プラント名」または「内容」が空欄の行を選び、その行の納入先コードを控える。
4. 取得したファイルを手動で開いたExcelで、控えた納入先コードの行を確認する。
5. 共通手順W01に従い対象ファイルを取得し、Excelで開いて本ケースの期待結果を確認する。異常系はファイルが取得されないことを確認する。</x:v>
      </x:c>
      <x:c r="F36" s="10" t="str">
        <x:v>1. その行の空欄の列が、Excelでも空欄である（「0」や「null」などの文字が入っていない）。
2. 同じ行の他の列には値が表示される。</x:v>
      </x:c>
      <x:c r="G36" s="10" t="str">
        <x:v>－</x:v>
      </x:c>
      <x:c r="H36" s="10"/>
      <x:c r="I36" s="10"/>
      <x:c r="J36" s="13"/>
      <x:c r="K36" s="10"/>
      <x:c r="L36" s="10"/>
      <x:c r="M36" s="10"/>
      <x:c r="N36" s="13"/>
      <x:c r="O36" s="10" t="str">
        <x:f>IF(L36&lt;&gt;"",L36,IF(H36="","未実施",H36))</x:f>
        <x:v>未実施</x:v>
      </x:c>
      <x:c r="P36" s="10" t="str">
        <x:v>Web根拠：Mcm0001pExcelService.java／Mcm0020uController.java。VB比較対象：Mcm0001pExcel.vb・Constant.vbと起動元画面。対応する機能条件は末尾の根拠一覧参照。</x:v>
      </x:c>
    </x:row>
    <x:row r="37" ht="148" customHeight="1">
      <x:c r="A37" s="10" t="str">
        <x:v>0001P-9</x:v>
      </x:c>
      <x:c r="B37" s="10" t="str">
        <x:v>一覧出力</x:v>
      </x:c>
      <x:c r="C37" s="10" t="str">
        <x:v>DTS連携情報一覧：検索結果が多数件の場合も全件出力される</x:v>
      </x:c>
      <x:c r="D37" s="10" t="str">
        <x:v>【前提条件】
・検索結果が100件以上になるログがある。</x:v>
      </x:c>
      <x:c r="E37" s="10" t="str">
        <x:v>1. メニュー(MCM0001U)で「DTS連携・契約自動更新ログ」ボタンを押下し、MCM0020Uを表示する。
2. 検索結果が100件以上になるように「ログ出力日」の開始・終了を入力して「検索」ボタンを押下する。
3. 一覧の件数を控える。
4. 取得したファイルを手動で開いたExcelで、データ行数を確認する。
5. 共通手順W01に従い対象ファイルを取得し、Excelで開いて本ケースの期待結果を確認する。異常系はファイルが取得されないことを確認する。</x:v>
      </x:c>
      <x:c r="F37" s="10" t="str">
        <x:v>1. Excelのデータ行数が、控えた一覧の件数と同じである（欠落がない）。</x:v>
      </x:c>
      <x:c r="G37" s="10" t="str">
        <x:v>－</x:v>
      </x:c>
      <x:c r="H37" s="10"/>
      <x:c r="I37" s="10"/>
      <x:c r="J37" s="13"/>
      <x:c r="K37" s="10"/>
      <x:c r="L37" s="10"/>
      <x:c r="M37" s="10"/>
      <x:c r="N37" s="13"/>
      <x:c r="O37" s="10" t="str">
        <x:f>IF(L37&lt;&gt;"",L37,IF(H37="","未実施",H37))</x:f>
        <x:v>未実施</x:v>
      </x:c>
      <x:c r="P37" s="10" t="str">
        <x:v>Web根拠：Mcm0001pExcelService.java／Mcm0020uController.java。VB比較対象：Mcm0001pExcel.vb・Constant.vbと起動元画面。対応する機能条件は末尾の根拠一覧参照。</x:v>
      </x:c>
    </x:row>
    <x:row r="38" ht="64" customHeight="1">
      <x:c r="A38" s="10" t="str">
        <x:v>0001P-10</x:v>
      </x:c>
      <x:c r="B38" s="10" t="str">
        <x:v>0件</x:v>
      </x:c>
      <x:c r="C38" s="10" t="str">
        <x:v>DTS連携情報一覧：一覧が0行のときに「Excel出力」を押下した場合</x:v>
      </x:c>
      <x:c r="D38" s="10" t="str">
        <x:v>【前提条件】
・MCM0020U を表示した直後で、一覧に行がない（検索を実行していない）。</x:v>
      </x:c>
      <x:c r="E38" s="10" t="str">
        <x:v>1. 初期表示で未検索の状態で出力する。
2. 検索結果0件の条件で検索し、再度出力する。
3. 両方で通知・ダウンロード履歴を確認する。</x:v>
      </x:c>
      <x:c r="F38" s="10" t="str">
        <x:v>「検索結果が1件も存在しません。」を通知して終了する。見出しだけの帳票もダウンロードしない。通知後に別の出力エラーが連続しない。</x:v>
      </x:c>
      <x:c r="G38" s="10" t="str">
        <x:v>検索結果が1件も存在しません。</x:v>
      </x:c>
      <x:c r="H38" s="10"/>
      <x:c r="I38" s="10"/>
      <x:c r="J38" s="13"/>
      <x:c r="K38" s="10"/>
      <x:c r="L38" s="10"/>
      <x:c r="M38" s="10"/>
      <x:c r="N38" s="13"/>
      <x:c r="O38" s="10" t="str">
        <x:f>IF(L38&lt;&gt;"",L38,IF(H38="","未実施",H38))</x:f>
        <x:v>未実施</x:v>
      </x:c>
      <x:c r="P38" s="10" t="str">
        <x:v>VB共通CPCoreUserControl.DisplayMessageは末尾Eの通知でCPInputCheckExceptionを送出する。Returnの有無だけによる原案の継続推定は誤り。WebはControllerの対象0件ガードを確認。</x:v>
      </x:c>
    </x:row>
    <x:row r="39" ht="134" customHeight="1">
      <x:c r="A39" s="10" t="str">
        <x:v>0001P-11</x:v>
      </x:c>
      <x:c r="B39" s="10" t="str">
        <x:v>シート</x:v>
      </x:c>
      <x:c r="C39" s="10" t="str">
        <x:v>DTS連携情報一覧：シート名</x:v>
      </x:c>
      <x:c r="D39" s="10" t="str">
        <x:v>【前提条件】
・共通の前提のとおり。</x:v>
      </x:c>
      <x:c r="E39" s="10" t="str">
        <x:v>1. メニュー(MCM0001U)で「DTS連携・契約自動更新ログ」ボタンを押下し、MCM0020Uを表示する。
2. ログがある日付を「ログ出力日」の開始に入力して「検索」ボタンを押下する。
3. 取得したファイルを手動で開いたExcelで、シートの数とシート名を確認する。
4. 共通手順W01に従い対象ファイルを取得し、Excelで開いて本ケースの期待結果を確認する。異常系はファイルが取得されないことを確認する。</x:v>
      </x:c>
      <x:c r="F39" s="10" t="str">
        <x:v>シートは1枚、シート名は「DTS連携情報一覧」。原案の「temp」はVB汎用出力名でありWeb版の期待値にしない。</x:v>
      </x:c>
      <x:c r="G39" s="10" t="str">
        <x:v>－</x:v>
      </x:c>
      <x:c r="H39" s="10"/>
      <x:c r="I39" s="10"/>
      <x:c r="J39" s="13"/>
      <x:c r="K39" s="10"/>
      <x:c r="L39" s="10"/>
      <x:c r="M39" s="10"/>
      <x:c r="N39" s="13"/>
      <x:c r="O39" s="10" t="str">
        <x:f>IF(L39&lt;&gt;"",L39,IF(H39="","未実施",H39))</x:f>
        <x:v>未実施</x:v>
      </x:c>
      <x:c r="P39" s="10" t="str">
        <x:v>Web根拠：Mcm0001pExcelService.java／Mcm0020uController.java。VB比較対象：Mcm0001pExcel.vb・Constant.vbと起動元画面。対応する機能条件は末尾の根拠一覧参照。原案に推定・実機記録項目あり。判断基準は下記訂正またはQ一覧で管理。</x:v>
      </x:c>
    </x:row>
    <x:row r="40" ht="45" customHeight="1">
      <x:c r="A40" s="10" t="str">
        <x:v>0001P-12</x:v>
      </x:c>
      <x:c r="B40" s="10" t="str">
        <x:v>追加／境界</x:v>
      </x:c>
      <x:c r="C40" s="10" t="str">
        <x:v>検索結果の保持期限切れ</x:v>
      </x:c>
      <x:c r="D40" s="10" t="str">
        <x:v>検索後、保持期限切れまたは無効な検索状態トークンにする（開発者がテスト環境で準備）。</x:v>
      </x:c>
      <x:c r="E40" s="10" t="str">
        <x:v>Excel出力を実行。</x:v>
      </x:c>
      <x:c r="F40" s="10" t="str">
        <x:v>再検索が必要な案内を表示し、別利用者・別タブの結果を返さない。</x:v>
      </x:c>
      <x:c r="G40" s="10" t="str">
        <x:v>－</x:v>
      </x:c>
      <x:c r="H40" s="10"/>
      <x:c r="I40" s="10"/>
      <x:c r="J40" s="13"/>
      <x:c r="K40" s="10"/>
      <x:c r="L40" s="10"/>
      <x:c r="M40" s="10"/>
      <x:c r="N40" s="13"/>
      <x:c r="O40" s="10" t="str">
        <x:f>IF(L40&lt;&gt;"",L40,IF(H40="","未実施",H40))</x:f>
        <x:v>未実施</x:v>
      </x:c>
      <x:c r="P40" s="10" t="str">
        <x:v>Mcm0001pControllerの検索状態取得・期限検査。</x:v>
      </x:c>
    </x:row>
    <x:row r="41" ht="45" customHeight="1">
      <x:c r="A41" s="10" t="str">
        <x:v>0001P-13</x:v>
      </x:c>
      <x:c r="B41" s="10" t="str">
        <x:v>追加／境界</x:v>
      </x:c>
      <x:c r="C41" s="10" t="str">
        <x:v>日付・文字列・見出し書式</x:v>
      </x:c>
      <x:c r="D41" s="10" t="str">
        <x:v>先頭0コード、日本語・改行の内容、正常な日付と空値を含む結果を準備。</x:v>
      </x:c>
      <x:c r="E41" s="10" t="str">
        <x:v>取得ブックのセル値・型・書式を確認。</x:v>
      </x:c>
      <x:c r="F41" s="10" t="str">
        <x:v>先頭0を保持、日付yyyy/MM/dd、空値は空欄。見出し背景#CCFFFF・細線罫線。本文を計算式として実行しない。</x:v>
      </x:c>
      <x:c r="G41" s="10" t="str">
        <x:v>－</x:v>
      </x:c>
      <x:c r="H41" s="10"/>
      <x:c r="I41" s="10"/>
      <x:c r="J41" s="13"/>
      <x:c r="K41" s="10"/>
      <x:c r="L41" s="10"/>
      <x:c r="M41" s="10"/>
      <x:c r="N41" s="13"/>
      <x:c r="O41" s="10" t="str">
        <x:f>IF(L41&lt;&gt;"",L41,IF(H41="","未実施",H41))</x:f>
        <x:v>未実施</x:v>
      </x:c>
      <x:c r="P41" s="10" t="str">
        <x:v>追加観点。Web根拠一覧参照。</x:v>
      </x:c>
    </x:row>
    <x:row r="42" ht="45" customHeight="1">
      <x:c r="A42" s="10" t="str">
        <x:v>0001P-14</x:v>
      </x:c>
      <x:c r="B42" s="10" t="str">
        <x:v>追加／境界</x:v>
      </x:c>
      <x:c r="C42" s="10" t="str">
        <x:v>複数タブの検索結果を混同しない</x:v>
      </x:c>
      <x:c r="D42" s="10" t="str">
        <x:v>同一利用者でブラウザタブA/Bに異なる条件の結果を表示。</x:v>
      </x:c>
      <x:c r="E42" s="10" t="str">
        <x:v>A、Bの順にExcel出力。</x:v>
      </x:c>
      <x:c r="F42" s="10" t="str">
        <x:v>それぞれの検索結果だけを出力。後から検索した別タブの条件に置き換わらない。</x:v>
      </x:c>
      <x:c r="G42" s="10" t="str">
        <x:v>－</x:v>
      </x:c>
      <x:c r="H42" s="10"/>
      <x:c r="I42" s="10"/>
      <x:c r="J42" s="13"/>
      <x:c r="K42" s="10"/>
      <x:c r="L42" s="10"/>
      <x:c r="M42" s="10"/>
      <x:c r="N42" s="13"/>
      <x:c r="O42" s="10" t="str">
        <x:f>IF(L42&lt;&gt;"",L42,IF(H42="","未実施",H42))</x:f>
        <x:v>未実施</x:v>
      </x:c>
      <x:c r="P42" s="10" t="str">
        <x:v>追加観点。Web根拠一覧参照。</x:v>
      </x:c>
    </x:row>
  </x:sheetData>
  <x:mergeCells>
    <x:mergeCell ref="A1:P1"/>
    <x:mergeCell ref="A3:C3"/>
    <x:mergeCell ref="D3:P3"/>
    <x:mergeCell ref="A4:C4"/>
    <x:mergeCell ref="D4:P4"/>
    <x:mergeCell ref="A6:P6"/>
    <x:mergeCell ref="A7:C7"/>
    <x:mergeCell ref="D7:P7"/>
    <x:mergeCell ref="A8:C8"/>
    <x:mergeCell ref="D8:P8"/>
    <x:mergeCell ref="A9:C9"/>
    <x:mergeCell ref="D9:P9"/>
    <x:mergeCell ref="A10:C10"/>
    <x:mergeCell ref="D10:P10"/>
    <x:mergeCell ref="A14:P14"/>
    <x:mergeCell ref="A16:C16"/>
    <x:mergeCell ref="D16:P16"/>
    <x:mergeCell ref="A17:C17"/>
    <x:mergeCell ref="D17:P17"/>
    <x:mergeCell ref="A18:C18"/>
    <x:mergeCell ref="D18:P18"/>
    <x:mergeCell ref="A20:C20"/>
    <x:mergeCell ref="D20:P20"/>
    <x:mergeCell ref="A26:P26"/>
  </x:mergeCells>
  <x:dataValidations count="2">
    <x:dataValidation type="list" sqref="H29:H42">
      <x:formula1>"未実施,OK,NG,保留,対象外"</x:formula1>
    </x:dataValidation>
    <x:dataValidation type="list" sqref="L29:L42">
      <x:formula1>"未実施,OK,NG,保留,対象外"</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pane ySplit="27" topLeftCell="A28" activePane="bottomLeft" state="frozen"/>
    </x:sheetView>
  </x:sheetViews>
  <x:sheetFormatPr defaultRowHeight="15"/>
  <x:cols>
    <x:col min="1" max="1" width="13" hidden="0" customWidth="1"/>
    <x:col min="2" max="2" width="14" hidden="0" customWidth="1"/>
    <x:col min="3" max="3" width="44" hidden="0" customWidth="1"/>
    <x:col min="4" max="4" width="52" hidden="0" customWidth="1"/>
    <x:col min="5" max="5" width="60" hidden="0" customWidth="1"/>
    <x:col min="6" max="6" width="64" hidden="0" customWidth="1"/>
    <x:col min="7" max="7" width="40" hidden="0" customWidth="1"/>
    <x:col min="8" max="8" width="12" hidden="0" customWidth="1"/>
    <x:col min="9" max="9" width="14" hidden="0" customWidth="1"/>
    <x:col min="10" max="10" width="15" hidden="0" customWidth="1"/>
    <x:col min="11" max="11" width="40" hidden="0" customWidth="1"/>
    <x:col min="12" max="12" width="14" hidden="0" customWidth="1"/>
    <x:col min="13" max="13" width="17" hidden="0" customWidth="1"/>
    <x:col min="14" max="14" width="17" hidden="0" customWidth="1"/>
    <x:col min="15" max="15" width="13" hidden="0" customWidth="1"/>
    <x:col min="16" max="16" width="54" hidden="0" customWidth="1"/>
  </x:cols>
  <x:sheetData>
    <x:row r="1" ht="26" customHeight="1">
      <x:c r="A1" s="4" t="str">
        <x:v>MCM2001P_店舗見積書類 単体テスト仕様書</x:v>
      </x:c>
      <x:c r="B1" s="4"/>
      <x:c r="C1" s="4"/>
      <x:c r="D1" s="4"/>
      <x:c r="E1" s="4"/>
      <x:c r="F1" s="4"/>
      <x:c r="G1" s="4"/>
      <x:c r="H1" s="4"/>
      <x:c r="I1" s="4"/>
      <x:c r="J1" s="4"/>
      <x:c r="K1" s="4"/>
      <x:c r="L1" s="4"/>
      <x:c r="M1" s="4"/>
      <x:c r="N1" s="4"/>
      <x:c r="O1" s="4"/>
      <x:c r="P1" s="4"/>
    </x:row>
    <x:row r="2">
      <x:c r="A2" s="3"/>
      <x:c r="B2" s="3"/>
      <x:c r="C2" s="3"/>
      <x:c r="D2" s="3"/>
      <x:c r="E2" s="3"/>
      <x:c r="F2" s="3"/>
      <x:c r="G2" s="3"/>
      <x:c r="H2" s="3"/>
      <x:c r="I2" s="3"/>
      <x:c r="J2" s="3"/>
      <x:c r="K2" s="3"/>
      <x:c r="L2" s="3"/>
      <x:c r="M2" s="3"/>
      <x:c r="N2" s="3"/>
      <x:c r="O2" s="3"/>
      <x:c r="P2" s="3"/>
    </x:row>
    <x:row r="3" ht="34" customHeight="1">
      <x:c r="A3" s="3" t="str">
        <x:v>画面情報</x:v>
      </x:c>
      <x:c r="B3" s="3"/>
      <x:c r="C3" s="3"/>
      <x:c r="D3" s="3" t="str">
        <x:v>起点：保守見積内容基本設定（MCM2003U）で「見積発行」、発行後に帳票取得。</x:v>
      </x:c>
      <x:c r="E3" s="3"/>
      <x:c r="F3" s="3"/>
      <x:c r="G3" s="3"/>
      <x:c r="H3" s="3"/>
      <x:c r="I3" s="3"/>
      <x:c r="J3" s="3"/>
      <x:c r="K3" s="3"/>
      <x:c r="L3" s="3"/>
      <x:c r="M3" s="3"/>
      <x:c r="N3" s="3"/>
      <x:c r="O3" s="3"/>
      <x:c r="P3" s="3"/>
    </x:row>
    <x:row r="4" ht="48" customHeight="1">
      <x:c r="A4" s="3" t="str">
        <x:v>出力形式・名称</x:v>
      </x:c>
      <x:c r="B4" s="3"/>
      <x:c r="C4" s="3"/>
      <x:c r="D4" s="3" t="str">
        <x:v>取得形式／名前：店舗見積書類.xls。共通W01〜W06も実施する。</x:v>
      </x:c>
      <x:c r="E4" s="3"/>
      <x:c r="F4" s="3"/>
      <x:c r="G4" s="3"/>
      <x:c r="H4" s="3"/>
      <x:c r="I4" s="3"/>
      <x:c r="J4" s="3"/>
      <x:c r="K4" s="3"/>
      <x:c r="L4" s="3"/>
      <x:c r="M4" s="3"/>
      <x:c r="N4" s="3"/>
      <x:c r="O4" s="3"/>
      <x:c r="P4" s="3"/>
    </x:row>
    <x:row r="5">
      <x:c r="A5" s="3"/>
      <x:c r="B5" s="3"/>
      <x:c r="C5" s="3"/>
      <x:c r="D5" s="3"/>
      <x:c r="E5" s="3"/>
      <x:c r="F5" s="3"/>
      <x:c r="G5" s="3"/>
      <x:c r="H5" s="3"/>
      <x:c r="I5" s="3"/>
      <x:c r="J5" s="3"/>
      <x:c r="K5" s="3"/>
      <x:c r="L5" s="3"/>
      <x:c r="M5" s="3"/>
      <x:c r="N5" s="3"/>
      <x:c r="O5" s="3"/>
      <x:c r="P5" s="3"/>
    </x:row>
    <x:row r="6">
      <x:c r="A6" s="6" t="str">
        <x:v>根拠ソース</x:v>
      </x:c>
      <x:c r="B6" s="6" t="str">
        <x:v>根拠ソース</x:v>
      </x:c>
      <x:c r="C6" s="6" t="str">
        <x:v>根拠ソース</x:v>
      </x:c>
      <x:c r="D6" s="6" t="str">
        <x:v>根拠ソース</x:v>
      </x:c>
      <x:c r="E6" s="6" t="str">
        <x:v>根拠ソース</x:v>
      </x:c>
      <x:c r="F6" s="6" t="str">
        <x:v>根拠ソース</x:v>
      </x:c>
      <x:c r="G6" s="6" t="str">
        <x:v>根拠ソース</x:v>
      </x:c>
      <x:c r="H6" s="6" t="str">
        <x:v>根拠ソース</x:v>
      </x:c>
      <x:c r="I6" s="6" t="str">
        <x:v>根拠ソース</x:v>
      </x:c>
      <x:c r="J6" s="6" t="str">
        <x:v>根拠ソース</x:v>
      </x:c>
      <x:c r="K6" s="6" t="str">
        <x:v>根拠ソース</x:v>
      </x:c>
      <x:c r="L6" s="6" t="str">
        <x:v>根拠ソース</x:v>
      </x:c>
      <x:c r="M6" s="6" t="str">
        <x:v>根拠ソース</x:v>
      </x:c>
      <x:c r="N6" s="6" t="str">
        <x:v>根拠ソース</x:v>
      </x:c>
      <x:c r="O6" s="6" t="str">
        <x:v>根拠ソース</x:v>
      </x:c>
      <x:c r="P6" s="6" t="str">
        <x:v>根拠ソース</x:v>
      </x:c>
    </x:row>
    <x:row r="7" ht="26" customHeight="1">
      <x:c r="A7" s="3" t="str">
        <x:v>VB版</x:v>
      </x:c>
      <x:c r="B7" s="3"/>
      <x:c r="C7" s="3"/>
      <x:c r="D7" s="3" t="str">
        <x:v>帳票のExcel.vb・Constant.vb／起動元イベント。既知不具合は再現を合格にしない。</x:v>
      </x:c>
      <x:c r="E7" s="3"/>
      <x:c r="F7" s="3"/>
      <x:c r="G7" s="3"/>
      <x:c r="H7" s="3"/>
      <x:c r="I7" s="3"/>
      <x:c r="J7" s="3"/>
      <x:c r="K7" s="3"/>
      <x:c r="L7" s="3"/>
      <x:c r="M7" s="3"/>
      <x:c r="N7" s="3"/>
      <x:c r="O7" s="3"/>
      <x:c r="P7" s="3"/>
    </x:row>
    <x:row r="8" ht="26" customHeight="1">
      <x:c r="A8" s="3" t="str">
        <x:v>Java版</x:v>
      </x:c>
      <x:c r="B8" s="3"/>
      <x:c r="C8" s="3"/>
      <x:c r="D8" s="3" t="str">
        <x:v>最新Webの帳票Service・起動元Controller。本文の備考／根拠欄とMD末尾を参照。</x:v>
      </x:c>
      <x:c r="E8" s="3"/>
      <x:c r="F8" s="3"/>
      <x:c r="G8" s="3"/>
      <x:c r="H8" s="3"/>
      <x:c r="I8" s="3"/>
      <x:c r="J8" s="3"/>
      <x:c r="K8" s="3"/>
      <x:c r="L8" s="3"/>
      <x:c r="M8" s="3"/>
      <x:c r="N8" s="3"/>
      <x:c r="O8" s="3"/>
      <x:c r="P8" s="3"/>
    </x:row>
    <x:row r="9" ht="26" customHeight="1">
      <x:c r="A9" s="3" t="str">
        <x:v>メッセージ</x:v>
      </x:c>
      <x:c r="B9" s="3"/>
      <x:c r="C9" s="3"/>
      <x:c r="D9" s="3" t="str">
        <x:v>Web画面の通知で判断。VBのネイティブダイアログ・Excel自動起動を要求しない。</x:v>
      </x:c>
      <x:c r="E9" s="3"/>
      <x:c r="F9" s="3"/>
      <x:c r="G9" s="3"/>
      <x:c r="H9" s="3"/>
      <x:c r="I9" s="3"/>
      <x:c r="J9" s="3"/>
      <x:c r="K9" s="3"/>
      <x:c r="L9" s="3"/>
      <x:c r="M9" s="3"/>
      <x:c r="N9" s="3"/>
      <x:c r="O9" s="3"/>
      <x:c r="P9" s="3"/>
    </x:row>
    <x:row r="10" ht="26" customHeight="1">
      <x:c r="A10" s="3" t="str">
        <x:v>参照資料</x:v>
      </x:c>
      <x:c r="B10" s="3"/>
      <x:c r="C10" s="3"/>
      <x:c r="D10" s="3" t="str">
        <x:v>同梱MDの共通確認・F01〜F04・Q01〜Q06。正式な実機確認結果はこれから記入する。</x:v>
      </x:c>
      <x:c r="E10" s="3"/>
      <x:c r="F10" s="3"/>
      <x:c r="G10" s="3"/>
      <x:c r="H10" s="3"/>
      <x:c r="I10" s="3"/>
      <x:c r="J10" s="3"/>
      <x:c r="K10" s="3"/>
      <x:c r="L10" s="3"/>
      <x:c r="M10" s="3"/>
      <x:c r="N10" s="3"/>
      <x:c r="O10" s="3"/>
      <x:c r="P10" s="3"/>
    </x:row>
    <x:row r="11">
      <x:c r="A11" s="3"/>
      <x:c r="B11" s="3"/>
      <x:c r="C11" s="3"/>
      <x:c r="D11" s="3"/>
      <x:c r="E11" s="3"/>
      <x:c r="F11" s="3"/>
      <x:c r="G11" s="3"/>
      <x:c r="H11" s="3"/>
      <x:c r="I11" s="3"/>
      <x:c r="J11" s="3"/>
      <x:c r="K11" s="3"/>
      <x:c r="L11" s="3"/>
      <x:c r="M11" s="3"/>
      <x:c r="N11" s="3"/>
      <x:c r="O11" s="3"/>
      <x:c r="P11" s="3"/>
    </x:row>
    <x:row r="12">
      <x:c r="A12" s="3"/>
      <x:c r="B12" s="3"/>
      <x:c r="C12" s="3"/>
      <x:c r="D12" s="3"/>
      <x:c r="E12" s="3"/>
      <x:c r="F12" s="3"/>
      <x:c r="G12" s="3"/>
      <x:c r="H12" s="3"/>
      <x:c r="I12" s="3"/>
      <x:c r="J12" s="3"/>
      <x:c r="K12" s="3"/>
      <x:c r="L12" s="3"/>
      <x:c r="M12" s="3"/>
      <x:c r="N12" s="3"/>
      <x:c r="O12" s="3"/>
      <x:c r="P12" s="3"/>
    </x:row>
    <x:row r="13">
      <x:c r="A13" s="3"/>
      <x:c r="B13" s="3"/>
      <x:c r="C13" s="3"/>
      <x:c r="D13" s="3"/>
      <x:c r="E13" s="3"/>
      <x:c r="F13" s="3"/>
      <x:c r="G13" s="3"/>
      <x:c r="H13" s="3"/>
      <x:c r="I13" s="3"/>
      <x:c r="J13" s="3"/>
      <x:c r="K13" s="3"/>
      <x:c r="L13" s="3"/>
      <x:c r="M13" s="3"/>
      <x:c r="N13" s="3"/>
      <x:c r="O13" s="3"/>
      <x:c r="P13" s="3"/>
    </x:row>
    <x:row r="14">
      <x:c r="A14" s="6" t="str">
        <x:v>機能一覧</x:v>
      </x:c>
      <x:c r="B14" s="6" t="str">
        <x:v>機能一覧</x:v>
      </x:c>
      <x:c r="C14" s="6" t="str">
        <x:v>機能一覧</x:v>
      </x:c>
      <x:c r="D14" s="6" t="str">
        <x:v>機能一覧</x:v>
      </x:c>
      <x:c r="E14" s="6" t="str">
        <x:v>機能一覧</x:v>
      </x:c>
      <x:c r="F14" s="6" t="str">
        <x:v>機能一覧</x:v>
      </x:c>
      <x:c r="G14" s="6" t="str">
        <x:v>機能一覧</x:v>
      </x:c>
      <x:c r="H14" s="6" t="str">
        <x:v>機能一覧</x:v>
      </x:c>
      <x:c r="I14" s="6" t="str">
        <x:v>機能一覧</x:v>
      </x:c>
      <x:c r="J14" s="6" t="str">
        <x:v>機能一覧</x:v>
      </x:c>
      <x:c r="K14" s="6" t="str">
        <x:v>機能一覧</x:v>
      </x:c>
      <x:c r="L14" s="6" t="str">
        <x:v>機能一覧</x:v>
      </x:c>
      <x:c r="M14" s="6" t="str">
        <x:v>機能一覧</x:v>
      </x:c>
      <x:c r="N14" s="6" t="str">
        <x:v>機能一覧</x:v>
      </x:c>
      <x:c r="O14" s="6" t="str">
        <x:v>機能一覧</x:v>
      </x:c>
      <x:c r="P14" s="6" t="str">
        <x:v>機能一覧</x:v>
      </x:c>
    </x:row>
    <x:row r="15">
      <x:c r="A15" s="3"/>
      <x:c r="B15" s="3"/>
      <x:c r="C15" s="3"/>
      <x:c r="D15" s="3"/>
      <x:c r="E15" s="3"/>
      <x:c r="F15" s="3"/>
      <x:c r="G15" s="3"/>
      <x:c r="H15" s="3"/>
      <x:c r="I15" s="3"/>
      <x:c r="J15" s="3"/>
      <x:c r="K15" s="3"/>
      <x:c r="L15" s="3"/>
      <x:c r="M15" s="3"/>
      <x:c r="N15" s="3"/>
      <x:c r="O15" s="3"/>
      <x:c r="P15" s="3"/>
    </x:row>
    <x:row r="16" ht="26" customHeight="1">
      <x:c r="A16" s="3" t="str">
        <x:v>1</x:v>
      </x:c>
      <x:c r="B16" s="3"/>
      <x:c r="C16" s="3"/>
      <x:c r="D16" s="3" t="str">
        <x:v>帳票の対象・項目・シート構成・表示書式・印刷の確認</x:v>
      </x:c>
      <x:c r="E16" s="3"/>
      <x:c r="F16" s="3"/>
      <x:c r="G16" s="3"/>
      <x:c r="H16" s="3"/>
      <x:c r="I16" s="3"/>
      <x:c r="J16" s="3"/>
      <x:c r="K16" s="3"/>
      <x:c r="L16" s="3"/>
      <x:c r="M16" s="3"/>
      <x:c r="N16" s="3"/>
      <x:c r="O16" s="3"/>
      <x:c r="P16" s="3"/>
    </x:row>
    <x:row r="17" ht="26" customHeight="1">
      <x:c r="A17" s="3" t="str">
        <x:v>2</x:v>
      </x:c>
      <x:c r="B17" s="3"/>
      <x:c r="C17" s="3"/>
      <x:c r="D17" s="3" t="str">
        <x:v>0件・入力不備・権限・失敗・境界・計算条件の確認</x:v>
      </x:c>
      <x:c r="E17" s="3"/>
      <x:c r="F17" s="3"/>
      <x:c r="G17" s="3"/>
      <x:c r="H17" s="3"/>
      <x:c r="I17" s="3"/>
      <x:c r="J17" s="3"/>
      <x:c r="K17" s="3"/>
      <x:c r="L17" s="3"/>
      <x:c r="M17" s="3"/>
      <x:c r="N17" s="3"/>
      <x:c r="O17" s="3"/>
      <x:c r="P17" s="3"/>
    </x:row>
    <x:row r="18" ht="26" customHeight="1">
      <x:c r="A18" s="3" t="str">
        <x:v>3</x:v>
      </x:c>
      <x:c r="B18" s="3"/>
      <x:c r="C18" s="3"/>
      <x:c r="D18" s="3" t="str">
        <x:v>共通確認を関連ケースで実施し、重複する取得操作は再利用</x:v>
      </x:c>
      <x:c r="E18" s="3"/>
      <x:c r="F18" s="3"/>
      <x:c r="G18" s="3"/>
      <x:c r="H18" s="3"/>
      <x:c r="I18" s="3"/>
      <x:c r="J18" s="3"/>
      <x:c r="K18" s="3"/>
      <x:c r="L18" s="3"/>
      <x:c r="M18" s="3"/>
      <x:c r="N18" s="3"/>
      <x:c r="O18" s="3"/>
      <x:c r="P18" s="3"/>
    </x:row>
    <x:row r="19">
      <x:c r="A19" s="3"/>
      <x:c r="B19" s="3"/>
      <x:c r="C19" s="3"/>
      <x:c r="D19" s="3"/>
      <x:c r="E19" s="3"/>
      <x:c r="F19" s="3"/>
      <x:c r="G19" s="3"/>
      <x:c r="H19" s="3"/>
      <x:c r="I19" s="3"/>
      <x:c r="J19" s="3"/>
      <x:c r="K19" s="3"/>
      <x:c r="L19" s="3"/>
      <x:c r="M19" s="3"/>
      <x:c r="N19" s="3"/>
      <x:c r="O19" s="3"/>
      <x:c r="P19" s="3"/>
    </x:row>
    <x:row r="20" ht="30" customHeight="1">
      <x:c r="A20" s="3" t="str">
        <x:v>分類</x:v>
      </x:c>
      <x:c r="B20" s="3"/>
      <x:c r="C20" s="3"/>
      <x:c r="D20" s="3" t="str">
        <x:v>出力起点／シート構成／見積総括表／原価総括／保守見積書／明細目録／ハード明細／見積原価表／ソフト明細／担当者印／ボタン制御／権限／登録を伴う発行／追加／境界</x:v>
      </x:c>
      <x:c r="E20" s="3"/>
      <x:c r="F20" s="3"/>
      <x:c r="G20" s="3"/>
      <x:c r="H20" s="3"/>
      <x:c r="I20" s="3"/>
      <x:c r="J20" s="3"/>
      <x:c r="K20" s="3"/>
      <x:c r="L20" s="3"/>
      <x:c r="M20" s="3"/>
      <x:c r="N20" s="3"/>
      <x:c r="O20" s="3"/>
      <x:c r="P20" s="3"/>
    </x:row>
    <x:row r="21">
      <x:c r="A21" s="3"/>
      <x:c r="B21" s="3"/>
      <x:c r="C21" s="3"/>
      <x:c r="D21" s="3"/>
      <x:c r="E21" s="3"/>
      <x:c r="F21" s="3"/>
      <x:c r="G21" s="3"/>
      <x:c r="H21" s="3"/>
      <x:c r="I21" s="3"/>
      <x:c r="J21" s="3"/>
      <x:c r="K21" s="3"/>
      <x:c r="L21" s="3"/>
      <x:c r="M21" s="3"/>
      <x:c r="N21" s="3"/>
      <x:c r="O21" s="3"/>
      <x:c r="P21" s="3"/>
    </x:row>
    <x:row r="22">
      <x:c r="A22" s="3"/>
      <x:c r="B22" s="3"/>
      <x:c r="C22" s="3"/>
      <x:c r="D22" s="3"/>
      <x:c r="E22" s="3"/>
      <x:c r="F22" s="3"/>
      <x:c r="G22" s="3"/>
      <x:c r="H22" s="3"/>
      <x:c r="I22" s="3"/>
      <x:c r="J22" s="3"/>
      <x:c r="K22" s="3"/>
      <x:c r="L22" s="3"/>
      <x:c r="M22" s="3"/>
      <x:c r="N22" s="3"/>
      <x:c r="O22" s="3"/>
      <x:c r="P22" s="3"/>
    </x:row>
    <x:row r="23">
      <x:c r="A23" s="3" t="str">
        <x:v>件数</x:v>
      </x:c>
      <x:c r="B23" s="3" t="n">
        <x:f>COUNTA(A29:A74)</x:f>
        <x:v>46</x:v>
      </x:c>
      <x:c r="C23" s="3" t="str">
        <x:v>OK</x:v>
      </x:c>
      <x:c r="D23" s="3" t="n">
        <x:f>COUNTIF(O29:O74,"OK")</x:f>
        <x:v>0</x:v>
      </x:c>
      <x:c r="E23" s="3" t="str">
        <x:v>NG</x:v>
      </x:c>
      <x:c r="F23" s="3" t="n">
        <x:f>COUNTIF(O29:O74,"NG")</x:f>
        <x:v>0</x:v>
      </x:c>
      <x:c r="G23" s="3" t="str">
        <x:v>未実施</x:v>
      </x:c>
      <x:c r="H23" s="3" t="n">
        <x:f>COUNTIF(O29:O74,"未実施")</x:f>
        <x:v>46</x:v>
      </x:c>
      <x:c r="I23" s="3"/>
      <x:c r="J23" s="3"/>
      <x:c r="K23" s="3"/>
      <x:c r="L23" s="3"/>
      <x:c r="M23" s="3"/>
      <x:c r="N23" s="3"/>
      <x:c r="O23" s="3"/>
      <x:c r="P23" s="3"/>
    </x:row>
    <x:row r="24">
      <x:c r="A24" s="3"/>
      <x:c r="B24" s="3"/>
      <x:c r="C24" s="3"/>
      <x:c r="D24" s="3"/>
      <x:c r="E24" s="3"/>
      <x:c r="F24" s="3"/>
      <x:c r="G24" s="3"/>
      <x:c r="H24" s="3"/>
      <x:c r="I24" s="3"/>
      <x:c r="J24" s="3"/>
      <x:c r="K24" s="3"/>
      <x:c r="L24" s="3"/>
      <x:c r="M24" s="3"/>
      <x:c r="N24" s="3"/>
      <x:c r="O24" s="3"/>
      <x:c r="P24" s="3"/>
    </x:row>
    <x:row r="25">
      <x:c r="A25" s="3"/>
      <x:c r="B25" s="3"/>
      <x:c r="C25" s="3"/>
      <x:c r="D25" s="3"/>
      <x:c r="E25" s="3"/>
      <x:c r="F25" s="3"/>
      <x:c r="G25" s="3"/>
      <x:c r="H25" s="3"/>
      <x:c r="I25" s="3"/>
      <x:c r="J25" s="3"/>
      <x:c r="K25" s="3"/>
      <x:c r="L25" s="3"/>
      <x:c r="M25" s="3"/>
      <x:c r="N25" s="3"/>
      <x:c r="O25" s="3"/>
      <x:c r="P25" s="3"/>
    </x:row>
    <x:row r="26">
      <x:c r="A26" s="6" t="str">
        <x:v>単体テストケース</x:v>
      </x:c>
      <x:c r="B26" s="6" t="str">
        <x:v>単体テストケース</x:v>
      </x:c>
      <x:c r="C26" s="6" t="str">
        <x:v>単体テストケース</x:v>
      </x:c>
      <x:c r="D26" s="6" t="str">
        <x:v>単体テストケース</x:v>
      </x:c>
      <x:c r="E26" s="6" t="str">
        <x:v>単体テストケース</x:v>
      </x:c>
      <x:c r="F26" s="6" t="str">
        <x:v>単体テストケース</x:v>
      </x:c>
      <x:c r="G26" s="6" t="str">
        <x:v>単体テストケース</x:v>
      </x:c>
      <x:c r="H26" s="6" t="str">
        <x:v>単体テストケース</x:v>
      </x:c>
      <x:c r="I26" s="6" t="str">
        <x:v>単体テストケース</x:v>
      </x:c>
      <x:c r="J26" s="6" t="str">
        <x:v>単体テストケース</x:v>
      </x:c>
      <x:c r="K26" s="6" t="str">
        <x:v>単体テストケース</x:v>
      </x:c>
      <x:c r="L26" s="6" t="str">
        <x:v>単体テストケース</x:v>
      </x:c>
      <x:c r="M26" s="6" t="str">
        <x:v>単体テストケース</x:v>
      </x:c>
      <x:c r="N26" s="6" t="str">
        <x:v>単体テストケース</x:v>
      </x:c>
      <x:c r="O26" s="6" t="str">
        <x:v>単体テストケース</x:v>
      </x:c>
      <x:c r="P26" s="6" t="str">
        <x:v>単体テストケース</x:v>
      </x:c>
    </x:row>
    <x:row r="27" ht="28" customHeight="1">
      <x:c r="A27" s="9" t="str">
        <x:v>項番</x:v>
      </x:c>
      <x:c r="B27" s="9" t="str">
        <x:v>分類</x:v>
      </x:c>
      <x:c r="C27" s="9" t="str">
        <x:v>テスト項目</x:v>
      </x:c>
      <x:c r="D27" s="9" t="str">
        <x:v>前提条件</x:v>
      </x:c>
      <x:c r="E27" s="9" t="str">
        <x:v>操作内容(入力値)</x:v>
      </x:c>
      <x:c r="F27" s="9" t="str">
        <x:v>期待結果</x:v>
      </x:c>
      <x:c r="G27" s="9" t="str">
        <x:v>期待メッセージ</x:v>
      </x:c>
      <x:c r="H27" s="9" t="str">
        <x:v>テスト結果</x:v>
      </x:c>
      <x:c r="I27" s="9" t="str">
        <x:v>実施者</x:v>
      </x:c>
      <x:c r="J27" s="9" t="str">
        <x:v>実施日</x:v>
      </x:c>
      <x:c r="K27" s="9" t="str">
        <x:v>不具合内容</x:v>
      </x:c>
      <x:c r="L27" s="9" t="str">
        <x:v>再テスト結果</x:v>
      </x:c>
      <x:c r="M27" s="9" t="str">
        <x:v>再テスト実施者</x:v>
      </x:c>
      <x:c r="N27" s="9" t="str">
        <x:v>再テスト実施日</x:v>
      </x:c>
      <x:c r="O27" s="9" t="str">
        <x:v>最終判定</x:v>
      </x:c>
      <x:c r="P27" s="9" t="str">
        <x:v>備考／根拠</x:v>
      </x:c>
    </x:row>
    <x:row r="28">
      <x:c r="A28" s="3"/>
      <x:c r="B28" s="3"/>
      <x:c r="C28" s="3"/>
      <x:c r="D28" s="3"/>
      <x:c r="E28" s="3"/>
      <x:c r="F28" s="3"/>
      <x:c r="G28" s="3"/>
      <x:c r="H28" s="3"/>
      <x:c r="I28" s="3"/>
      <x:c r="J28" s="3"/>
      <x:c r="K28" s="3"/>
      <x:c r="L28" s="3"/>
      <x:c r="M28" s="3"/>
      <x:c r="N28" s="3"/>
      <x:c r="O28" s="3"/>
      <x:c r="P28" s="3"/>
    </x:row>
    <x:row r="29" ht="78" customHeight="1">
      <x:c r="A29" s="10" t="str">
        <x:v>2001P-1</x:v>
      </x:c>
      <x:c r="B29" s="10" t="str">
        <x:v>出力起点</x:v>
      </x:c>
      <x:c r="C29" s="10" t="str">
        <x:v>店舗見積書類：Web画面から帳票を取得する</x:v>
      </x:c>
      <x:c r="D29" s="10" t="str">
        <x:v>【前提条件】
・共通の前提のとおり。</x:v>
      </x:c>
      <x:c r="E29" s="10" t="str">
        <x:v>1. 本章の前提を準備する。
2. 保守見積内容基本設定（MCM2003U）で「見積発行」、発行後に帳票取得を実施する。
3. W01に従いダウンロード履歴と取得ファイル名を確認する。
4. 対象ファイルを手動で開く。</x:v>
      </x:c>
      <x:c r="F29" s="10" t="str">
        <x:v>出力対象がある正常条件で、対象帳票を取得でき、Excelで開ける。ダウンロード名：店舗見積書類.xls。拡張子とブック形式が一致し、Excelの形式不一致警告が出ない。Excel自動起動・ネイティブ保存画面は必須ではない。</x:v>
      </x:c>
      <x:c r="G29" s="10" t="str">
        <x:v>－</x:v>
      </x:c>
      <x:c r="H29" s="10"/>
      <x:c r="I29" s="10"/>
      <x:c r="J29" s="13"/>
      <x:c r="K29" s="10"/>
      <x:c r="L29" s="10"/>
      <x:c r="M29" s="10"/>
      <x:c r="N29" s="13"/>
      <x:c r="O29" s="10" t="str">
        <x:f>IF(L29&lt;&gt;"",L29,IF(H29="","未実施",H29))</x:f>
        <x:v>未実施</x:v>
      </x:c>
      <x:c r="P29" s="10" t="str">
        <x:v>Web根拠：Mcm2001pExcelService.java／Mcm2003uController.java。VB比較対象：Mcm2001pExcel.vb・Constant.vbと起動元画面。対応する機能条件は末尾の根拠一覧参照。</x:v>
      </x:c>
    </x:row>
    <x:row r="30" ht="64" customHeight="1">
      <x:c r="A30" s="10" t="str">
        <x:v>2001P-2</x:v>
      </x:c>
      <x:c r="B30" s="10" t="str">
        <x:v>出力起点</x:v>
      </x:c>
      <x:c r="C30" s="10" t="str">
        <x:v>Web取得操作：ブラウザの保存をキャンセルする</x:v>
      </x:c>
      <x:c r="D30" s="10" t="str">
        <x:v>【前提条件】
・共通の前提のとおり。
・保存先に指定するフォルダに、店舗見積書類のファイルがない。</x:v>
      </x:c>
      <x:c r="E30" s="10" t="str">
        <x:v>1. 本章の正常条件で出力する。
2. ブラウザ設定を「保存先を毎回確認」にし、保存をキャンセルする。
3. ダウンロード履歴・保存先・発行元の状態を確認する。</x:v>
      </x:c>
      <x:c r="F30" s="10" t="str">
        <x:v>キャンセルしたファイルが利用者PCに保存されない。Excelの自動起動は要求しない。ブラウザのキャンセルはアプリの発行取消ではなく、先に完了した登録・状態変更を戻さない。再取得の可否は各帳票の再発行条件に従う。</x:v>
      </x:c>
      <x:c r="G30" s="10" t="str">
        <x:v>－</x:v>
      </x:c>
      <x:c r="H30" s="10"/>
      <x:c r="I30" s="10"/>
      <x:c r="J30" s="13"/>
      <x:c r="K30" s="10"/>
      <x:c r="L30" s="10"/>
      <x:c r="M30" s="10"/>
      <x:c r="N30" s="13"/>
      <x:c r="O30" s="10" t="str">
        <x:f>IF(L30&lt;&gt;"",L30,IF(H30="","未実施",H30))</x:f>
        <x:v>未実施</x:v>
      </x:c>
      <x:c r="P30" s="10" t="str">
        <x:v>W02。2001Pは発行処理の確認取消（2001P-40）と区別。3001P／3005Pは同一ZIPの取得取消であり、帳票別の保存ダイアログはない。</x:v>
      </x:c>
    </x:row>
    <x:row r="31" ht="92" customHeight="1">
      <x:c r="A31" s="10" t="str">
        <x:v>2001P-3</x:v>
      </x:c>
      <x:c r="B31" s="10" t="str">
        <x:v>シート構成</x:v>
      </x:c>
      <x:c r="C31" s="10" t="str">
        <x:v>店舗見積書類：ブランド1つ・期間1つの場合、7種類のシートが出力される</x:v>
      </x:c>
      <x:c r="D31" s="10" t="str">
        <x:v>【前提条件】
・共通の前提のとおり。
・ブランドが1つ、期間が1つで、機器構成が1件以上ある店舗見積。</x:v>
      </x:c>
      <x:c r="E31" s="10" t="str">
        <x:v>1. 操作Aを行う。
2. ブックの下部のシートの見出し（シート名）を、左から順に確認する。
3. 共通手順W01に従い対象ファイルを取得し、Excelで開いて本ケースの期待結果を確認する。異常系はファイルが取得されないことを確認する。</x:v>
      </x:c>
      <x:c r="F31" s="10" t="str">
        <x:v>ブランド1つ・期間1つでは7シート。順序：①見積総括表 ②保守見積総括表(原価） ③保守見積書 ④保守仕様明細目録 ⑤仕切原価（ハード） ⑥見積原価表 ⑦仕切原価（ソフト）。各内容が対応するシートに入り、⑤⑥の入れ替わりがない。</x:v>
      </x:c>
      <x:c r="G31" s="10" t="str">
        <x:v>－</x:v>
      </x:c>
      <x:c r="H31" s="10"/>
      <x:c r="I31" s="10"/>
      <x:c r="J31" s="13"/>
      <x:c r="K31" s="10"/>
      <x:c r="L31" s="10"/>
      <x:c r="M31" s="10"/>
      <x:c r="N31" s="13"/>
      <x:c r="O31" s="10" t="str">
        <x:f>IF(L31&lt;&gt;"",L31,IF(H31="","未実施",H31))</x:f>
        <x:v>未実施</x:v>
      </x:c>
      <x:c r="P31" s="10" t="str">
        <x:v>Mcm2001pConstant.vbのシート位置、Web原紙7シートとMcm2001pExcelService.Writerの割当を照合。見積原価表とハード明細の順序を訂正。</x:v>
      </x:c>
    </x:row>
    <x:row r="32" ht="120" customHeight="1">
      <x:c r="A32" s="10" t="str">
        <x:v>2001P-4</x:v>
      </x:c>
      <x:c r="B32" s="10" t="str">
        <x:v>シート構成</x:v>
      </x:c>
      <x:c r="C32" s="10" t="str">
        <x:v>店舗見積書類：ブランドまたは期間が複数の場合、3〜7枚目のシートの組が増える</x:v>
      </x:c>
      <x:c r="D32" s="10" t="str">
        <x:v>【前提条件】
・共通の前提のとおり。
・ブランド2つ×期間1つ、またはブランド1つ×期間2つなど、ブランドと期間の組が2つ以上ある店舗見積。</x:v>
      </x:c>
      <x:c r="E32" s="10" t="str">
        <x:v>1. MCM2003Uを表示し、ブランドと期間の組の数を控える。
2. 　【控え】ブランド数＝（　）、期間数＝（　）
3. 取得したファイルを手動で開いたExcelで、シートの数とシート名を確認する。
4. 共通手順W01に従い対象ファイルを取得し、Excelで開いて本ケースの期待結果を確認する。異常系はファイルが取得されないことを確認する。</x:v>
      </x:c>
      <x:c r="F32" s="10" t="str">
        <x:v>1. 「見積総括表」「保守見積総括表(原価)」は、それぞれ1枚だけである。
2. 「保守見積書」「保守仕様明細目録」「見積原価表」「仕切原価（ハード）」「仕切原価（ソフト）」に相当する5種類のシートは、ブランドと期間の組の数だけ、組ごとに繰り返し出力される（例：2組なら、合計12枚）。
3. 各組のシートの内容が、その組のブランド詳細名と期間になっている。</x:v>
      </x:c>
      <x:c r="G32" s="10" t="str">
        <x:v>－</x:v>
      </x:c>
      <x:c r="H32" s="10"/>
      <x:c r="I32" s="10"/>
      <x:c r="J32" s="13"/>
      <x:c r="K32" s="10"/>
      <x:c r="L32" s="10"/>
      <x:c r="M32" s="10"/>
      <x:c r="N32" s="13"/>
      <x:c r="O32" s="10" t="str">
        <x:f>IF(L32&lt;&gt;"",L32,IF(H32="","未実施",H32))</x:f>
        <x:v>未実施</x:v>
      </x:c>
      <x:c r="P32" s="10" t="str">
        <x:v>Web根拠：Mcm2001pExcelService.java／Mcm2003uController.java。VB比較対象：Mcm2001pExcel.vb・Constant.vbと起動元画面。対応する機能条件は末尾の根拠一覧参照。</x:v>
      </x:c>
    </x:row>
    <x:row r="33" ht="176" customHeight="1">
      <x:c r="A33" s="10" t="str">
        <x:v>2001P-5</x:v>
      </x:c>
      <x:c r="B33" s="10" t="str">
        <x:v>見積総括表</x:v>
      </x:c>
      <x:c r="C33" s="10" t="str">
        <x:v>見積総括表：ヘッダー（送付先、依頼者、見積NO、作成日、管理NO）が出力される</x:v>
      </x:c>
      <x:c r="D33" s="10" t="str">
        <x:v>【前提条件】
・共通の前提のとおり。
・送付店舗・事業所、送付担当者が入力済みの店舗見積。</x:v>
      </x:c>
      <x:c r="E33" s="10" t="str">
        <x:v>1. 操作Aの1〜2でMCM2003Uを表示する。
2. 画面の「送付店舗・事業所」「送付担当者」と見積NOを控える。管理NOは画面に表示されないため、控えは取らない【要確認：管理NOの確認方法】。
3. 　【控え】送付店舗・事業所＝（　）、送付担当者＝（　）、見積NO＝（　）
4. 　【控え】操作日＝（　）
5. 取得したファイルを手動で開いたExcelの「見積総括表」シートの上部を確認する。
6. 共通手順W01に従い対象ファイルを取得し、Excelで開いて本ケースの期待結果を確認する。異常系はファイルが取得されないことを確認する。</x:v>
      </x:c>
      <x:c r="F33" s="10" t="str">
        <x:v>1. 3行目と4行目の「見積送付先」の欄（C3、C4付近）に、送付店舗・事業所の名称が表示される（名称が2つに分かれている場合は半角スペースでつないだ値）。
2. 5行目（C5付近）に、控えた送付担当者が表示される。
3. 右上の見積NO（AE2付近）に、控えた見積NOが表示される。
4. 右上の作成日（AE3付近）に、操作した日の日付が「yyyy/MM/dd」の形式で表示される。
5. 右上の管理NO（AE4付近）に、値が表示される。</x:v>
      </x:c>
      <x:c r="G33" s="10" t="str">
        <x:v>－</x:v>
      </x:c>
      <x:c r="H33" s="10"/>
      <x:c r="I33" s="10"/>
      <x:c r="J33" s="13"/>
      <x:c r="K33" s="10"/>
      <x:c r="L33" s="10"/>
      <x:c r="M33" s="10"/>
      <x:c r="N33" s="13"/>
      <x:c r="O33" s="10" t="str">
        <x:f>IF(L33&lt;&gt;"",L33,IF(H33="","未実施",H33))</x:f>
        <x:v>未実施</x:v>
      </x:c>
      <x:c r="P33" s="10" t="str">
        <x:v>Web根拠：Mcm2001pExcelService.java／Mcm2003uController.java。VB比較対象：Mcm2001pExcel.vb・Constant.vbと起動元画面。対応する機能条件は末尾の根拠一覧参照。</x:v>
      </x:c>
    </x:row>
    <x:row r="34" ht="148" customHeight="1">
      <x:c r="A34" s="10" t="str">
        <x:v>2001P-6</x:v>
      </x:c>
      <x:c r="B34" s="10" t="str">
        <x:v>見積総括表</x:v>
      </x:c>
      <x:c r="C34" s="10" t="str">
        <x:v>見積総括表：納入先名の行とプラント名の行が出力される</x:v>
      </x:c>
      <x:c r="D34" s="10" t="str">
        <x:v>【前提条件】
・共通の前提のとおり。</x:v>
      </x:c>
      <x:c r="E34" s="10" t="str">
        <x:v>1. 操作Aの1〜2でMCM2003Uを表示する。
2. 画面の「納入先名」「サポートID」「プラント名」と、「契約時間帯」（期間のタブ内）を控える。
3. 　【控え】納入先名＝（　）、サポートID＝（　）、プラント名＝（　）、契約時間帯＝（　）
4. 取得したファイルを手動で開いたExcelの「見積総括表」シートの8〜9行目を確認する。
5. 共通手順W01に従い対象ファイルを取得し、Excelで開いて本ケースの期待結果を確認する。異常系はファイルが取得されないことを確認する。</x:v>
      </x:c>
      <x:c r="F34" s="10" t="str">
        <x:v>1. 8行目（C8付近）に「{納入先名} 見積総括表({契約時間帯}H)」が表示される（例：○○工場 見積総括表(24H)）。
2. 9行目（C9付近）に「(サポートID.{サポートID} /{プラント名})」が表示される。</x:v>
      </x:c>
      <x:c r="G34" s="10" t="str">
        <x:v>－</x:v>
      </x:c>
      <x:c r="H34" s="10"/>
      <x:c r="I34" s="10"/>
      <x:c r="J34" s="13"/>
      <x:c r="K34" s="10"/>
      <x:c r="L34" s="10"/>
      <x:c r="M34" s="10"/>
      <x:c r="N34" s="13"/>
      <x:c r="O34" s="10" t="str">
        <x:f>IF(L34&lt;&gt;"",L34,IF(H34="","未実施",H34))</x:f>
        <x:v>未実施</x:v>
      </x:c>
      <x:c r="P34" s="10" t="str">
        <x:v>Web根拠：Mcm2001pExcelService.java／Mcm2003uController.java。VB比較対象：Mcm2001pExcel.vb・Constant.vbと起動元画面。対応する機能条件は末尾の根拠一覧参照。</x:v>
      </x:c>
    </x:row>
    <x:row r="35" ht="120" customHeight="1">
      <x:c r="A35" s="10" t="str">
        <x:v>2001P-7</x:v>
      </x:c>
      <x:c r="B35" s="10" t="str">
        <x:v>見積総括表</x:v>
      </x:c>
      <x:c r="C35" s="10" t="str">
        <x:v>見積総括表：期間の開始日と終了日が出力される（期間1つ）</x:v>
      </x:c>
      <x:c r="D35" s="10" t="str">
        <x:v>【前提条件】
・共通の前提のとおり。
・期間が1つで、終了日が設定された店舗見積。</x:v>
      </x:c>
      <x:c r="E35" s="10" t="str">
        <x:v>1. 操作Aの1〜2でMCM2003Uを表示する。
2. 期間のタブの「期間」の開始日と終了日を控える。
3. 　【控え】開始日＝（　）、終了日＝（　）
4. 取得したファイルを手動で開いたExcelの「見積総括表」シートの14〜15行目を確認する。
5. 共通手順W01に従い対象ファイルを取得し、Excelで開いて本ケースの期待結果を確認する。異常系はファイルが取得されないことを確認する。</x:v>
      </x:c>
      <x:c r="F35" s="10" t="str">
        <x:v>1. 14行目に、控えた開始日が表示される（金額列の最初のまとまりの中、右寄せ）。
2. 15行目に、「～」に続けて控えた終了日が表示される。</x:v>
      </x:c>
      <x:c r="G35" s="10" t="str">
        <x:v>－</x:v>
      </x:c>
      <x:c r="H35" s="10"/>
      <x:c r="I35" s="10"/>
      <x:c r="J35" s="13"/>
      <x:c r="K35" s="10"/>
      <x:c r="L35" s="10"/>
      <x:c r="M35" s="10"/>
      <x:c r="N35" s="13"/>
      <x:c r="O35" s="10" t="str">
        <x:f>IF(L35&lt;&gt;"",L35,IF(H35="","未実施",H35))</x:f>
        <x:v>未実施</x:v>
      </x:c>
      <x:c r="P35" s="10" t="str">
        <x:v>Web根拠：Mcm2001pExcelService.java／Mcm2003uController.java。VB比較対象：Mcm2001pExcel.vb・Constant.vbと起動元画面。対応する機能条件は末尾の根拠一覧参照。</x:v>
      </x:c>
    </x:row>
    <x:row r="36" ht="120" customHeight="1">
      <x:c r="A36" s="10" t="str">
        <x:v>2001P-8</x:v>
      </x:c>
      <x:c r="B36" s="10" t="str">
        <x:v>見積総括表</x:v>
      </x:c>
      <x:c r="C36" s="10" t="str">
        <x:v>見積総括表：期間が複数の場合、期間ごとに金額の列が増える</x:v>
      </x:c>
      <x:c r="D36" s="10" t="str">
        <x:v>【前提条件】
・共通の前提のとおり。
・期間が3つの店舗見積。</x:v>
      </x:c>
      <x:c r="E36" s="10" t="str">
        <x:v>1. 操作Aの1〜2でMCM2003Uを表示する。
2. 各期間のタブの開始日・終了日を、開始日の古い順に控える。
3. 取得したファイルを手動で開いたExcelの「見積総括表」シートの14〜15行目を確認する。
4. 共通手順W01に従い対象ファイルを取得し、Excelで開いて本ケースの期待結果を確認する。異常系はファイルが取得されないことを確認する。</x:v>
      </x:c>
      <x:c r="F36" s="10" t="str">
        <x:v>1. 期間の列が3つ、左から開始日の古い順に並ぶ。
2. 各期間の列に、その期間の開始日（14行目）と「～終了日」（15行目）が表示される。
3. 期間の列の間に縦の細い罫線が付いている。</x:v>
      </x:c>
      <x:c r="G36" s="10" t="str">
        <x:v>－</x:v>
      </x:c>
      <x:c r="H36" s="10"/>
      <x:c r="I36" s="10"/>
      <x:c r="J36" s="13"/>
      <x:c r="K36" s="10"/>
      <x:c r="L36" s="10"/>
      <x:c r="M36" s="10"/>
      <x:c r="N36" s="13"/>
      <x:c r="O36" s="10" t="str">
        <x:f>IF(L36&lt;&gt;"",L36,IF(H36="","未実施",H36))</x:f>
        <x:v>未実施</x:v>
      </x:c>
      <x:c r="P36" s="10" t="str">
        <x:v>Web根拠：Mcm2001pExcelService.java／Mcm2003uController.java。VB比較対象：Mcm2001pExcel.vb・Constant.vbと起動元画面。対応する機能条件は末尾の根拠一覧参照。</x:v>
      </x:c>
    </x:row>
    <x:row r="37" ht="162" customHeight="1">
      <x:c r="A37" s="10" t="str">
        <x:v>2001P-9</x:v>
      </x:c>
      <x:c r="B37" s="10" t="str">
        <x:v>見積総括表</x:v>
      </x:c>
      <x:c r="C37" s="10" t="str">
        <x:v>見積総括表：保守費の行（ブランド行とコントローラ行）と「保守費小計」が出力される</x:v>
      </x:c>
      <x:c r="D37" s="10" t="str">
        <x:v>【前提条件】
・共通の前提のとおり。
・ブランドが1つで、コントローラが1件以上ある店舗見積。</x:v>
      </x:c>
      <x:c r="E37" s="10" t="str">
        <x:v>1. 操作Aの1〜2でMCM2003Uを表示する。
2. ブランドの「ブランド詳細名」、期間の保守費（小計）、コントローラの品名・数量・標準金額を控える【要確認：MCM2003U 上の表示位置・項目名】。
3. 　【控え】ブランド詳細名＝（　）、保守費＝（　）、コントローラ品名＝（　）、数量＝（　）、金額＝（　）
4. 取得したファイルを手動で開いたExcelの「見積総括表」シートの17行目から下を確認する。
5. 共通手順W01に従い対象ファイルを取得し、Excelで開いて本ケースの期待結果を確認する。異常系はファイルが取得されないことを確認する。</x:v>
      </x:c>
      <x:c r="F37" s="10" t="str">
        <x:v>1. 17行目に、ブランド名の欄（E列付近）に控えたブランド詳細名、機器名の欄（J列付近）は空欄、セット数の欄（T列付近）に「1式」、期間の金額の欄に控えた保守費が表示される。
2. その下のコントローラ行に、機器名の欄に控えた品名、セット数の欄に「{数量}台」、期間の金額の欄に控えた金額が表示される。
3. 金額が「\#,##0」形式（3桁区切り、先頭に円記号）で表示される。
4. 保守費の最終行の2行下（空行をはさんで）に、機器名の欄に「保守費小計」が表示され、期間ごとに上の保守費の合計が表示される。</x:v>
      </x:c>
      <x:c r="G37" s="10" t="str">
        <x:v>－</x:v>
      </x:c>
      <x:c r="H37" s="10"/>
      <x:c r="I37" s="10"/>
      <x:c r="J37" s="13"/>
      <x:c r="K37" s="10"/>
      <x:c r="L37" s="10"/>
      <x:c r="M37" s="10"/>
      <x:c r="N37" s="13"/>
      <x:c r="O37" s="10" t="str">
        <x:f>IF(L37&lt;&gt;"",L37,IF(H37="","未実施",H37))</x:f>
        <x:v>未実施</x:v>
      </x:c>
      <x:c r="P37" s="10" t="str">
        <x:v>Web根拠：Mcm2001pExcelService.java／Mcm2003uController.java。VB比較対象：Mcm2001pExcel.vb・Constant.vbと起動元画面。対応する機能条件は末尾の根拠一覧参照。</x:v>
      </x:c>
    </x:row>
    <x:row r="38" ht="134" customHeight="1">
      <x:c r="A38" s="10" t="str">
        <x:v>2001P-10</x:v>
      </x:c>
      <x:c r="B38" s="10" t="str">
        <x:v>見積総括表</x:v>
      </x:c>
      <x:c r="C38" s="10" t="str">
        <x:v>見積総括表：DREMOS使用費を使うブランドがある場合、「2.DREMOS使用費」と「DREMOS小計」が出力される</x:v>
      </x:c>
      <x:c r="D38" s="10" t="str">
        <x:v>【前提条件】
・共通の前提のとおり。
・ブランドマスタでDREMOSの使用がONのブランドを含む店舗見積。</x:v>
      </x:c>
      <x:c r="E38" s="10" t="str">
        <x:v>1. 操作Aの1〜2でMCM2003Uを表示する。
2. DREMOSを使用するブランドの名称を控える【要確認：MCM2003U 上の表示位置】。
3. 　【控え】ブランド＝（　）
4. 取得したファイルを手動で開いたExcelの「見積総括表」シートで、「保守費小計」の下を確認する。
5. 共通手順W01に従い対象ファイルを取得し、Excelで開いて本ケースの期待結果を確認する。異常系はファイルが取得されないことを確認する。</x:v>
      </x:c>
      <x:c r="F38" s="10" t="str">
        <x:v>1. タイトルの欄（C列付近）に「2.DREMOS使用費」が表示される。
2. その下の行の機器名の欄（J列付近）に、控えたブランドが表示され、期間ごとの金額の欄にDREMOS使用費の金額が表示される。
3. その下に「DREMOS小計」の行があり、期間ごとに上の金額の合計が表示される。</x:v>
      </x:c>
      <x:c r="G38" s="10" t="str">
        <x:v>－</x:v>
      </x:c>
      <x:c r="H38" s="10"/>
      <x:c r="I38" s="10"/>
      <x:c r="J38" s="13"/>
      <x:c r="K38" s="10"/>
      <x:c r="L38" s="10"/>
      <x:c r="M38" s="10"/>
      <x:c r="N38" s="13"/>
      <x:c r="O38" s="10" t="str">
        <x:f>IF(L38&lt;&gt;"",L38,IF(H38="","未実施",H38))</x:f>
        <x:v>未実施</x:v>
      </x:c>
      <x:c r="P38" s="10" t="str">
        <x:v>Web根拠：Mcm2001pExcelService.java／Mcm2003uController.java。VB比較対象：Mcm2001pExcel.vb・Constant.vbと起動元画面。対応する機能条件は末尾の根拠一覧参照。</x:v>
      </x:c>
    </x:row>
    <x:row r="39" ht="92" customHeight="1">
      <x:c r="A39" s="10" t="str">
        <x:v>2001P-11</x:v>
      </x:c>
      <x:c r="B39" s="10" t="str">
        <x:v>見積総括表</x:v>
      </x:c>
      <x:c r="C39" s="10" t="str">
        <x:v>見積総括表：DREMOSを使うブランドがない場合、DREMOS使用費の行が出力されない</x:v>
      </x:c>
      <x:c r="D39" s="10" t="str">
        <x:v>【前提条件】
・共通の前提のとおり。
・すべてのブランドでDREMOSの使用がOFFの店舗見積。</x:v>
      </x:c>
      <x:c r="E39" s="10" t="str">
        <x:v>1. 操作Aを行う。
2. 取得したファイルを手動で開いたExcelの「見積総括表」シートで、「保守費小計」の下を確認する。
3. 共通手順W01に従い対象ファイルを取得し、Excelで開いて本ケースの期待結果を確認する。異常系はファイルが取得されないことを確認する。</x:v>
      </x:c>
      <x:c r="F39" s="10" t="str">
        <x:v>1. 「2.DREMOS使用費」「DREMOS小計」が表示されない。</x:v>
      </x:c>
      <x:c r="G39" s="10" t="str">
        <x:v>－</x:v>
      </x:c>
      <x:c r="H39" s="10"/>
      <x:c r="I39" s="10"/>
      <x:c r="J39" s="13"/>
      <x:c r="K39" s="10"/>
      <x:c r="L39" s="10"/>
      <x:c r="M39" s="10"/>
      <x:c r="N39" s="13"/>
      <x:c r="O39" s="10" t="str">
        <x:f>IF(L39&lt;&gt;"",L39,IF(H39="","未実施",H39))</x:f>
        <x:v>未実施</x:v>
      </x:c>
      <x:c r="P39" s="10" t="str">
        <x:v>Web根拠：Mcm2001pExcelService.java／Mcm2003uController.java。VB比較対象：Mcm2001pExcel.vb・Constant.vbと起動元画面。対応する機能条件は末尾の根拠一覧参照。</x:v>
      </x:c>
    </x:row>
    <x:row r="40" ht="134" customHeight="1">
      <x:c r="A40" s="10" t="str">
        <x:v>2001P-12</x:v>
      </x:c>
      <x:c r="B40" s="10" t="str">
        <x:v>見積総括表</x:v>
      </x:c>
      <x:c r="C40" s="10" t="str">
        <x:v>見積総括表：リモートを使うブランドがある場合、「3.リモート一次導入費」と「リモート小計」が出力される</x:v>
      </x:c>
      <x:c r="D40" s="10" t="str">
        <x:v>【前提条件】
・共通の前提のとおり。
・ブランドマスタでリモートの使用がONのブランドを含む店舗見積。</x:v>
      </x:c>
      <x:c r="E40" s="10" t="str">
        <x:v>1. 操作Aの1〜2でMCM2003Uを表示する。
2. リモートを使用するブランドの名称を控える。
3. 　【控え】ブランド＝（　）
4. 取得したファイルを手動で開いたExcelの「見積総括表」シートで、保守費小計（DREMOSがある場合はDREMOS小計）の下を確認する。
5. 共通手順W01に従い対象ファイルを取得し、Excelで開いて本ケースの期待結果を確認する。異常系はファイルが取得されないことを確認する。</x:v>
      </x:c>
      <x:c r="F40" s="10" t="str">
        <x:v>1. タイトルの欄に「3.リモート一次導入費」が表示される。
2. その下の行に、控えたブランドと、期間ごとの一次導入費の金額が表示される。
3. その下に「リモート小計」の行があり、期間ごとに上の金額の合計が表示される。</x:v>
      </x:c>
      <x:c r="G40" s="10" t="str">
        <x:v>－</x:v>
      </x:c>
      <x:c r="H40" s="10"/>
      <x:c r="I40" s="10"/>
      <x:c r="J40" s="13"/>
      <x:c r="K40" s="10"/>
      <x:c r="L40" s="10"/>
      <x:c r="M40" s="10"/>
      <x:c r="N40" s="13"/>
      <x:c r="O40" s="10" t="str">
        <x:f>IF(L40&lt;&gt;"",L40,IF(H40="","未実施",H40))</x:f>
        <x:v>未実施</x:v>
      </x:c>
      <x:c r="P40" s="10" t="str">
        <x:v>Web根拠：Mcm2001pExcelService.java／Mcm2003uController.java。VB比較対象：Mcm2001pExcel.vb・Constant.vbと起動元画面。対応する機能条件は末尾の根拠一覧参照。</x:v>
      </x:c>
    </x:row>
    <x:row r="41" ht="162" customHeight="1">
      <x:c r="A41" s="10" t="str">
        <x:v>2001P-13</x:v>
      </x:c>
      <x:c r="B41" s="10" t="str">
        <x:v>見積総括表</x:v>
      </x:c>
      <x:c r="C41" s="10" t="str">
        <x:v>見積総括表：「合計金額」が期間ごとの各小計の合計になる</x:v>
      </x:c>
      <x:c r="D41" s="10" t="str">
        <x:v>【前提条件】
・共通の前提のとおり。
・DREMOS使用費とリモート一次導入費の両方がある店舗見積（期間は2つ以上）。</x:v>
      </x:c>
      <x:c r="E41" s="10" t="str">
        <x:v>1. 操作Aの1〜2でMCM2003Uを表示する。
2. 取得したファイルを手動で開いたExcelの「見積総括表」シートで、「保守費小計」「DREMOS小計」「リモート小計」「合計金額」の各期間の金額を控える。
3. 　【控え】期間1：保守費小計＝（　）、DREMOS小計＝（　）、リモート小計＝（　）、合計金額＝（　）
4. 　（期間2以降も同様）
5. 控えた金額を計算して、合計金額と比べる。
6. 共通手順W01に従い対象ファイルを取得し、Excelで開いて本ケースの期待結果を確認する。異常系はファイルが取得されないことを確認する。</x:v>
      </x:c>
      <x:c r="F41" s="10" t="str">
        <x:v>1. 各期間で、「合計金額」が、その期間の「保守費小計」「DREMOS小計」「リモート小計」の合計と一致する。
2. 合計金額の行の上に太めの罫線が付いている。</x:v>
      </x:c>
      <x:c r="G41" s="10" t="str">
        <x:v>－</x:v>
      </x:c>
      <x:c r="H41" s="10"/>
      <x:c r="I41" s="10"/>
      <x:c r="J41" s="13"/>
      <x:c r="K41" s="10"/>
      <x:c r="L41" s="10"/>
      <x:c r="M41" s="10"/>
      <x:c r="N41" s="13"/>
      <x:c r="O41" s="10" t="str">
        <x:f>IF(L41&lt;&gt;"",L41,IF(H41="","未実施",H41))</x:f>
        <x:v>未実施</x:v>
      </x:c>
      <x:c r="P41" s="10" t="str">
        <x:v>Web根拠：Mcm2001pExcelService.java／Mcm2003uController.java。VB比較対象：Mcm2001pExcel.vb・Constant.vbと起動元画面。対応する機能条件は末尾の根拠一覧参照。</x:v>
      </x:c>
    </x:row>
    <x:row r="42" ht="134" customHeight="1">
      <x:c r="A42" s="10" t="str">
        <x:v>2001P-14</x:v>
      </x:c>
      <x:c r="B42" s="10" t="str">
        <x:v>見積総括表</x:v>
      </x:c>
      <x:c r="C42" s="10" t="str">
        <x:v>見積総括表：見積条件が改行ごとに1行ずつ出力される</x:v>
      </x:c>
      <x:c r="D42" s="10" t="str">
        <x:v>【前提条件】
・共通の前提のとおり。
・見積条件に複数行（例：3行）が入力されている店舗見積。</x:v>
      </x:c>
      <x:c r="E42" s="10" t="str">
        <x:v>1. 操作Aの1〜2でMCM2003Uを表示する。
2. 「見積条件」の内容を、行ごとに控える【要確認：MCM2003U 上の項目名】。
3. 　【控え】見積条件（行ごと）＝（　）
4. 取得したファイルを手動で開いたExcelの「見積総括表」シートの下部（「※見積条件」の下）を確認する。
5. 共通手順W01に従い対象ファイルを取得し、Excelで開いて本ケースの期待結果を確認する。異常系はファイルが取得されないことを確認する。</x:v>
      </x:c>
      <x:c r="F42" s="10" t="str">
        <x:v>1. 「※見積条件」の下の行から、控えた見積条件が、改行ごとに1行ずつ、同じ順で表示される。</x:v>
      </x:c>
      <x:c r="G42" s="10" t="str">
        <x:v>－</x:v>
      </x:c>
      <x:c r="H42" s="10"/>
      <x:c r="I42" s="10"/>
      <x:c r="J42" s="13"/>
      <x:c r="K42" s="10"/>
      <x:c r="L42" s="10"/>
      <x:c r="M42" s="10"/>
      <x:c r="N42" s="13"/>
      <x:c r="O42" s="10" t="str">
        <x:f>IF(L42&lt;&gt;"",L42,IF(H42="","未実施",H42))</x:f>
        <x:v>未実施</x:v>
      </x:c>
      <x:c r="P42" s="10" t="str">
        <x:v>Web根拠：Mcm2001pExcelService.java／Mcm2003uController.java。VB比較対象：Mcm2001pExcel.vb・Constant.vbと起動元画面。対応する機能条件は末尾の根拠一覧参照。</x:v>
      </x:c>
    </x:row>
    <x:row r="43" ht="176" customHeight="1">
      <x:c r="A43" s="10" t="str">
        <x:v>2001P-15</x:v>
      </x:c>
      <x:c r="B43" s="10" t="str">
        <x:v>原価総括</x:v>
      </x:c>
      <x:c r="C43" s="10" t="str">
        <x:v>保守見積総括表(原価)：ヘッダー（納入先、プラント、サポートID、手配製番、見積レベル、保守時間、見積NO、作成日、管理NO）が出力される</x:v>
      </x:c>
      <x:c r="D43" s="10" t="str">
        <x:v>【前提条件】
・共通の前提のとおり。
・見積レベル、手配製番が設定された店舗見積。</x:v>
      </x:c>
      <x:c r="E43" s="10" t="str">
        <x:v>1. 操作Aの1〜2でMCM2003Uを表示する。
2. 画面の「納入先名」「プラント名」「サポートID」「見積レベル」「契約時間帯」と見積NOを控える。手配製番は画面に表示されない【要確認：確認方法】。
3. 　【控え】納入先名＝（　）、プラント名＝（　）、サポートID＝（　）、見積レベル＝（　）、契約時間帯＝（　）、見積NO＝（　）
4. 取得したファイルを手動で開いたExcelの「保守見積総括表(原価)」シートの上部を確認する。
5. 共通手順W01に従い対象ファイルを取得し、Excelで開いて本ケースの期待結果を確認する。異常系はファイルが取得されないことを確認する。</x:v>
      </x:c>
      <x:c r="F43" s="10" t="str">
        <x:v>1. 6行目（F6付近）に、控えた納入先名の後ろに半角スペースと納入先の工場名が続く値が表示される。
2. 7行目（F7付近）に、控えたプラント名が表示される。
3. 8行目（F8付近）に、控えたサポートIDが表示される。
4. 8行目の右（R8付近）に、手配製番が表示される。
5. 9行目（F9付近）に、控えた見積レベルの名称が表示される（コード値ではない）。
6. 9行目の右（R9付近）に、控えた契約時間帯の後ろに「H」を付けた値が表示される。
7. 右上に、見積NO（AC2付近）、操作した日の日付（AC3付近。「yyyy/MM/dd」）、管理NO（AC4付近）が表示される。</x:v>
      </x:c>
      <x:c r="G43" s="10" t="str">
        <x:v>－</x:v>
      </x:c>
      <x:c r="H43" s="10"/>
      <x:c r="I43" s="10"/>
      <x:c r="J43" s="13"/>
      <x:c r="K43" s="10"/>
      <x:c r="L43" s="10"/>
      <x:c r="M43" s="10"/>
      <x:c r="N43" s="13"/>
      <x:c r="O43" s="10" t="str">
        <x:f>IF(L43&lt;&gt;"",L43,IF(H43="","未実施",H43))</x:f>
        <x:v>未実施</x:v>
      </x:c>
      <x:c r="P43" s="10" t="str">
        <x:v>Web根拠：Mcm2001pExcelService.java／Mcm2003uController.java。VB比較対象：Mcm2001pExcel.vb・Constant.vbと起動元画面。対応する機能条件は末尾の根拠一覧参照。</x:v>
      </x:c>
    </x:row>
    <x:row r="44" ht="106" customHeight="1">
      <x:c r="A44" s="10" t="str">
        <x:v>2001P-16</x:v>
      </x:c>
      <x:c r="B44" s="10" t="str">
        <x:v>原価総括</x:v>
      </x:c>
      <x:c r="C44" s="10" t="str">
        <x:v>保守見積総括表(原価)：項目一覧（ブランド名、セット数、期間別金額）が出力される</x:v>
      </x:c>
      <x:c r="D44" s="10" t="str">
        <x:v>【前提条件】
・共通の前提のとおり。
・期間が2つ以上ある店舗見積。</x:v>
      </x:c>
      <x:c r="E44" s="10" t="str">
        <x:v>1. 操作Aの1〜2でMCM2003Uを表示する。
2. ブランド名と各期間の開始日・終了日を控える。
3. 取得したファイルを手動で開いたExcelの「保守見積総括表(原価)」シートの12行目から下を確認する。
4. 共通手順W01に従い対象ファイルを取得し、Excelで開いて本ケースの期待結果を確認する。異常系はファイルが取得されないことを確認する。</x:v>
      </x:c>
      <x:c r="F44" s="10" t="str">
        <x:v>1. 12〜13行目に、期間ごとの開始日と「～終了日」が、開始日の古い順に並ぶ。
2. 15行目から、ブランドごとに1行、項目の欄にブランド名、セット数の欄に「1」、期間ごとの金額の欄に金額が表示される。
3. 金額が「\#,##0」形式で表示される。</x:v>
      </x:c>
      <x:c r="G44" s="10" t="str">
        <x:v>－</x:v>
      </x:c>
      <x:c r="H44" s="10"/>
      <x:c r="I44" s="10"/>
      <x:c r="J44" s="13"/>
      <x:c r="K44" s="10"/>
      <x:c r="L44" s="10"/>
      <x:c r="M44" s="10"/>
      <x:c r="N44" s="13"/>
      <x:c r="O44" s="10" t="str">
        <x:f>IF(L44&lt;&gt;"",L44,IF(H44="","未実施",H44))</x:f>
        <x:v>未実施</x:v>
      </x:c>
      <x:c r="P44" s="10" t="str">
        <x:v>Web根拠：Mcm2001pExcelService.java／Mcm2003uController.java。VB比較対象：Mcm2001pExcel.vb・Constant.vbと起動元画面。対応する機能条件は末尾の根拠一覧参照。</x:v>
      </x:c>
    </x:row>
    <x:row r="45" ht="92" customHeight="1">
      <x:c r="A45" s="10" t="str">
        <x:v>2001P-17</x:v>
      </x:c>
      <x:c r="B45" s="10" t="str">
        <x:v>原価総括</x:v>
      </x:c>
      <x:c r="C45" s="10" t="str">
        <x:v>保守見積総括表(原価)：リモートがあると「・リモート一次導入費」が出力され、DREMOS使用費は出力されない</x:v>
      </x:c>
      <x:c r="D45" s="10" t="str">
        <x:v>【前提条件】
・共通の前提のとおり。
・リモート、DREMOSの両方を使うブランドを含む店舗見積。</x:v>
      </x:c>
      <x:c r="E45" s="10" t="str">
        <x:v>1. 操作Aを行う。
2. 取得したファイルを手動で開いたExcelの「保守見積総括表(原価)」シートで、項目一覧の下を確認する。
3. 共通手順W01に従い対象ファイルを取得し、Excelで開いて本ケースの期待結果を確認する。異常系はファイルが取得されないことを確認する。</x:v>
      </x:c>
      <x:c r="F45" s="10" t="str">
        <x:v>1. 項目一覧の下に「・リモート一次導入費」の行があり、その下に、ブランド名と期間ごとの一次導入費の金額が表示される。
2. 「DREMOS」に関する行が表示されない。</x:v>
      </x:c>
      <x:c r="G45" s="10" t="str">
        <x:v>－</x:v>
      </x:c>
      <x:c r="H45" s="10"/>
      <x:c r="I45" s="10"/>
      <x:c r="J45" s="13"/>
      <x:c r="K45" s="10"/>
      <x:c r="L45" s="10"/>
      <x:c r="M45" s="10"/>
      <x:c r="N45" s="13"/>
      <x:c r="O45" s="10" t="str">
        <x:f>IF(L45&lt;&gt;"",L45,IF(H45="","未実施",H45))</x:f>
        <x:v>未実施</x:v>
      </x:c>
      <x:c r="P45" s="10" t="str">
        <x:v>Web根拠：Mcm2001pExcelService.java／Mcm2003uController.java。VB比較対象：Mcm2001pExcel.vb・Constant.vbと起動元画面。対応する機能条件は末尾の根拠一覧参照。</x:v>
      </x:c>
    </x:row>
    <x:row r="46" ht="92" customHeight="1">
      <x:c r="A46" s="10" t="str">
        <x:v>2001P-18</x:v>
      </x:c>
      <x:c r="B46" s="10" t="str">
        <x:v>原価総括</x:v>
      </x:c>
      <x:c r="C46" s="10" t="str">
        <x:v>保守見積総括表(原価)：期間が4つ以上の場合の罫線</x:v>
      </x:c>
      <x:c r="D46" s="10" t="str">
        <x:v>【前提条件】
・共通の前提のとおり。
・期間が4つ以上の店舗見積。【要確認：期間4つ以上の店舗見積を作れるか】</x:v>
      </x:c>
      <x:c r="E46" s="10" t="str">
        <x:v>1. 操作Aを行う。
2. 取得したファイルを手動で開いたExcelの「保守見積総括表(原価)」シートで、4つ目以降の期間の列を確認する。
3. 共通手順W01に従い対象ファイルを取得し、Excelで開いて本ケースの期待結果を確認する。異常系はファイルが取得されないことを確認する。</x:v>
      </x:c>
      <x:c r="F46" s="10" t="str">
        <x:v>1. 4つ目以降の期間の列にも、開始日、終了日、金額が表示される。
2. 4つ目以降の期間の列に、1〜3つ目と同じ罫線が付いている。</x:v>
      </x:c>
      <x:c r="G46" s="10" t="str">
        <x:v>－</x:v>
      </x:c>
      <x:c r="H46" s="10"/>
      <x:c r="I46" s="10"/>
      <x:c r="J46" s="13"/>
      <x:c r="K46" s="10"/>
      <x:c r="L46" s="10"/>
      <x:c r="M46" s="10"/>
      <x:c r="N46" s="13"/>
      <x:c r="O46" s="10" t="str">
        <x:f>IF(L46&lt;&gt;"",L46,IF(H46="","未実施",H46))</x:f>
        <x:v>未実施</x:v>
      </x:c>
      <x:c r="P46" s="10" t="str">
        <x:v>Web根拠：Mcm2001pExcelService.java／Mcm2003uController.java。VB比較対象：Mcm2001pExcel.vb・Constant.vbと起動元画面。対応する機能条件は末尾の根拠一覧参照。</x:v>
      </x:c>
    </x:row>
    <x:row r="47" ht="176" customHeight="1">
      <x:c r="A47" s="10" t="str">
        <x:v>2001P-19</x:v>
      </x:c>
      <x:c r="B47" s="10" t="str">
        <x:v>保守見積書</x:v>
      </x:c>
      <x:c r="C47" s="10" t="str">
        <x:v>保守見積書（システム保守見積）：ヘッダーが出力される</x:v>
      </x:c>
      <x:c r="D47" s="10" t="str">
        <x:v>【前提条件】
・共通の前提のとおり。
・見積有効期限が設定された店舗見積。</x:v>
      </x:c>
      <x:c r="E47" s="10" t="str">
        <x:v>1. 操作Aの1〜2でMCM2003Uを表示する。
2. 画面の「送付店舗・事業所」「納入先名」「見積有効期限」と、期間の開始日・終了日、「契約時間帯」、ブランド詳細名、見積NOを控える。
3. 取得したファイルを手動で開いたExcelの「保守見積書」に相当するシートの上部を確認する。
4. 共通手順W01に従い対象ファイルを取得し、Excelで開いて本ケースの期待結果を確認する。異常系はファイルが取得されないことを確認する。</x:v>
      </x:c>
      <x:c r="F47" s="10" t="str">
        <x:v>1. 3〜4行目の左端（B3、B4付近）に、送付店舗・事業所の名称が表示される。
2. 5行目（B5付近）に、控えたブランド詳細名が表示される。
3. 7行目（G7付近）に、納入先名の後ろに半角スペースと工場名が続く値が表示される。
4. 9行目に、適用期間が「開始日～終了日」の形式で表示される（G9付近）。見積有効期限（Z9付近）に、控えた見積有効期限が表示される。
5. 右上に、保守契約時間帯が「(ハードウェア保守 {契約時間帯}H)」の形式で表示される（AI2付近）。
6. 右上に、見積NO（AC3付近）、操作した日の日付（AC4付近）、管理NO（AC5付近）が表示される。</x:v>
      </x:c>
      <x:c r="G47" s="10" t="str">
        <x:v>－</x:v>
      </x:c>
      <x:c r="H47" s="10"/>
      <x:c r="I47" s="10"/>
      <x:c r="J47" s="13"/>
      <x:c r="K47" s="10"/>
      <x:c r="L47" s="10"/>
      <x:c r="M47" s="10"/>
      <x:c r="N47" s="13"/>
      <x:c r="O47" s="10" t="str">
        <x:f>IF(L47&lt;&gt;"",L47,IF(H47="","未実施",H47))</x:f>
        <x:v>未実施</x:v>
      </x:c>
      <x:c r="P47" s="10" t="str">
        <x:v>Web根拠：Mcm2001pExcelService.java／Mcm2003uController.java。VB比較対象：Mcm2001pExcel.vb・Constant.vbと起動元画面。対応する機能条件は末尾の根拠一覧参照。</x:v>
      </x:c>
    </x:row>
    <x:row r="48" ht="134" customHeight="1">
      <x:c r="A48" s="10" t="str">
        <x:v>2001P-20</x:v>
      </x:c>
      <x:c r="B48" s="10" t="str">
        <x:v>保守見積書</x:v>
      </x:c>
      <x:c r="C48" s="10" t="str">
        <x:v>保守見積書：ハードウェア費の一覧（コントローラ以外）が出力される</x:v>
      </x:c>
      <x:c r="D48" s="10" t="str">
        <x:v>【前提条件】
・共通の前提のとおり。
・コントローラと、コントローラ以外の機器構成が、どちらも1件以上ある店舗見積。</x:v>
      </x:c>
      <x:c r="E48" s="10" t="str">
        <x:v>1. 操作Aの1〜2でMCM2003Uを表示する。
2. 機器構成の一覧で、コントローラ以外の機器について、品名・数量・標準金額を控える【要確認：MCM2003U 上の表示位置・項目名】。
3. 取得したファイルを手動で開いたExcelの「保守見積書」に相当するシートの12行目から下を確認する。
4. 共通手順W01に従い対象ファイルを取得し、Excelで開いて本ケースの期待結果を確認する。異常系はファイルが取得されないことを確認する。</x:v>
      </x:c>
      <x:c r="F48" s="10" t="str">
        <x:v>1. 12行目から、コントローラ以外の機器が1行ずつ、項番（C列付近）、品名（D列付近）、数量（Y列付近）、標準価格（AB列付近）の順に表示される。
2. コントローラの機器が表示されない。
3. 行数が、控えたコントローラ以外の機器の数と同じである。</x:v>
      </x:c>
      <x:c r="G48" s="10" t="str">
        <x:v>－</x:v>
      </x:c>
      <x:c r="H48" s="10"/>
      <x:c r="I48" s="10"/>
      <x:c r="J48" s="13"/>
      <x:c r="K48" s="10"/>
      <x:c r="L48" s="10"/>
      <x:c r="M48" s="10"/>
      <x:c r="N48" s="13"/>
      <x:c r="O48" s="10" t="str">
        <x:f>IF(L48&lt;&gt;"",L48,IF(H48="","未実施",H48))</x:f>
        <x:v>未実施</x:v>
      </x:c>
      <x:c r="P48" s="10" t="str">
        <x:v>Web根拠：Mcm2001pExcelService.java／Mcm2003uController.java。VB比較対象：Mcm2001pExcel.vb・Constant.vbと起動元画面。対応する機能条件は末尾の根拠一覧参照。</x:v>
      </x:c>
    </x:row>
    <x:row r="49" ht="162" customHeight="1">
      <x:c r="A49" s="10" t="str">
        <x:v>2001P-21</x:v>
      </x:c>
      <x:c r="B49" s="10" t="str">
        <x:v>保守見積書</x:v>
      </x:c>
      <x:c r="C49" s="10" t="str">
        <x:v>保守見積書：ソフトウェア費（システムサポート費、DTSサポート費、ダイフク技術料、調整費）が出力される</x:v>
      </x:c>
      <x:c r="D49" s="10" t="str">
        <x:v>【前提条件】
・共通の前提のとおり。
・システムサポート費、DTSサポート費、ダイフク技術料、調整費がすべて入力済みの店舗見積。</x:v>
      </x:c>
      <x:c r="E49" s="10" t="str">
        <x:v>1. 操作Aの1〜2でMCM2003Uを表示する。
2. 期間のタブで、「システムサポート費」「DTSサポート費」「ダイフク技術料」「調整費」の金額を控える【要確認：MCM2003U 上の表示位置。補正前と補正後の2組がある】。
3. 　【控え】システムサポート費＝（　）、DTSサポート費＝（　）、ダイフク技術料＝（　）、調整費＝（　）
4. 取得したファイルを手動で開いたExcelの「保守見積書」に相当するシートの36〜40行目を確認する。
5. 共通手順W01に従い対象ファイルを取得し、Excelで開いて本ケースの期待結果を確認する。異常系はファイルが取得されないことを確認する。</x:v>
      </x:c>
      <x:c r="F49" s="10" t="str">
        <x:v>1. 36行目（標準価格の欄）に、システムサポート費が表示される。
2. 37行目に、DTSサポート費が表示される。
3. 38行目に、ダイフク技術料が表示される。
4. 40行目に、調整費が表示される。</x:v>
      </x:c>
      <x:c r="G49" s="10" t="str">
        <x:v>－</x:v>
      </x:c>
      <x:c r="H49" s="10"/>
      <x:c r="I49" s="10"/>
      <x:c r="J49" s="13"/>
      <x:c r="K49" s="10"/>
      <x:c r="L49" s="10"/>
      <x:c r="M49" s="10"/>
      <x:c r="N49" s="13"/>
      <x:c r="O49" s="10" t="str">
        <x:f>IF(L49&lt;&gt;"",L49,IF(H49="","未実施",H49))</x:f>
        <x:v>未実施</x:v>
      </x:c>
      <x:c r="P49" s="10" t="str">
        <x:v>Web根拠：Mcm2001pExcelService.java／Mcm2003uController.java。VB比較対象：Mcm2001pExcel.vb・Constant.vbと起動元画面。対応する機能条件は末尾の根拠一覧参照。</x:v>
      </x:c>
    </x:row>
    <x:row r="50" ht="120" customHeight="1">
      <x:c r="A50" s="10" t="str">
        <x:v>2001P-22</x:v>
      </x:c>
      <x:c r="B50" s="10" t="str">
        <x:v>保守見積書</x:v>
      </x:c>
      <x:c r="C50" s="10" t="str">
        <x:v>保守見積書：注記が出力される</x:v>
      </x:c>
      <x:c r="D50" s="10" t="str">
        <x:v>【前提条件】
・共通の前提のとおり。
・ブランドに見積注記が複数行（例：2行）入力されている店舗見積。</x:v>
      </x:c>
      <x:c r="E50" s="10" t="str">
        <x:v>1. 操作Aの1〜2でMCM2003Uを表示する。
2. 見積注記の内容を、行ごとに控える【要確認：MCM2003U 上の項目名】。
3. 取得したファイルを手動で開いたExcelの「保守見積書」に相当するシートの下部（43行目付近）を確認する。
4. 共通手順W01に従い対象ファイルを取得し、Excelで開いて本ケースの期待結果を確認する。異常系はファイルが取得されないことを確認する。</x:v>
      </x:c>
      <x:c r="F50" s="10" t="str">
        <x:v>1. 控えた注記が、改行ごとに1行ずつ、同じ順で表示される。</x:v>
      </x:c>
      <x:c r="G50" s="10" t="str">
        <x:v>－</x:v>
      </x:c>
      <x:c r="H50" s="10"/>
      <x:c r="I50" s="10"/>
      <x:c r="J50" s="13"/>
      <x:c r="K50" s="10"/>
      <x:c r="L50" s="10"/>
      <x:c r="M50" s="10"/>
      <x:c r="N50" s="13"/>
      <x:c r="O50" s="10" t="str">
        <x:f>IF(L50&lt;&gt;"",L50,IF(H50="","未実施",H50))</x:f>
        <x:v>未実施</x:v>
      </x:c>
      <x:c r="P50" s="10" t="str">
        <x:v>Web根拠：Mcm2001pExcelService.java／Mcm2003uController.java。VB比較対象：Mcm2001pExcel.vb・Constant.vbと起動元画面。対応する機能条件は末尾の根拠一覧参照。原案に推定・実機記録項目あり。判断基準は下記訂正またはQ一覧で管理。</x:v>
      </x:c>
    </x:row>
    <x:row r="51" ht="106" customHeight="1">
      <x:c r="A51" s="10" t="str">
        <x:v>2001P-23</x:v>
      </x:c>
      <x:c r="B51" s="10" t="str">
        <x:v>明細目録</x:v>
      </x:c>
      <x:c r="C51" s="10" t="str">
        <x:v>保守仕様明細目録：ソフト保守とヘッダーが出力される</x:v>
      </x:c>
      <x:c r="D51" s="10" t="str">
        <x:v>【前提条件】
・共通の前提のとおり。</x:v>
      </x:c>
      <x:c r="E51" s="10" t="str">
        <x:v>1. 操作Aの1〜2でMCM2003Uを表示する。
2. ブランド詳細名、保守方法、契約時間帯を控える。
3. 取得したファイルを手動で開いたExcelの「保守仕様明細目録」シートの上部（2〜7行目）を確認する。
4. 共通手順W01に従い対象ファイルを取得し、Excelで開いて本ケースの期待結果を確認する。異常系はファイルが取得されないことを確認する。</x:v>
      </x:c>
      <x:c r="F51" s="10" t="str">
        <x:v>1. 右上（I2付近）に「管理Ｎｏ.」に続けて管理NOが表示される（「Ｎｏ」は全角）。
2. 「◆ソフト保守」の表の1行目（5行目）に、品名の欄にブランド詳細名、総数の欄に「1」が表示される。契約数の欄と保守方法の欄にも値が表示される。
3. 「◆（ハードウェア保守 ○○H）」の表示（I7付近）が、「(ハードウェア保守 {契約時間帯}H)」の形式になっている。</x:v>
      </x:c>
      <x:c r="G51" s="10" t="str">
        <x:v>－</x:v>
      </x:c>
      <x:c r="H51" s="10"/>
      <x:c r="I51" s="10"/>
      <x:c r="J51" s="13"/>
      <x:c r="K51" s="10"/>
      <x:c r="L51" s="10"/>
      <x:c r="M51" s="10"/>
      <x:c r="N51" s="13"/>
      <x:c r="O51" s="10" t="str">
        <x:f>IF(L51&lt;&gt;"",L51,IF(H51="","未実施",H51))</x:f>
        <x:v>未実施</x:v>
      </x:c>
      <x:c r="P51" s="10" t="str">
        <x:v>Web根拠：Mcm2001pExcelService.java／Mcm2003uController.java。VB比較対象：Mcm2001pExcel.vb・Constant.vbと起動元画面。対応する機能条件は末尾の根拠一覧参照。</x:v>
      </x:c>
    </x:row>
    <x:row r="52" ht="134" customHeight="1">
      <x:c r="A52" s="10" t="str">
        <x:v>2001P-24</x:v>
      </x:c>
      <x:c r="B52" s="10" t="str">
        <x:v>明細目録</x:v>
      </x:c>
      <x:c r="C52" s="10" t="str">
        <x:v>保守仕様明細目録：機器構成と機器明細（品名、型式、契約数、総数、保守契約時間帯、点検回数、点検日程、保守方法、備考）が出力される</x:v>
      </x:c>
      <x:c r="D52" s="10" t="str">
        <x:v>【前提条件】
・共通の前提のとおり。
・機器構成が2件以上あり、各構成に機器明細が1件以上ある店舗見積（点検回数と点検日程が設定された機器を含む）。</x:v>
      </x:c>
      <x:c r="E52" s="10" t="str">
        <x:v>1. 操作Aの1〜2でMCM2003Uを表示する。
2. 機器構成ごとに、機器構成名と、機器明細の品名・型式・契約数・総数・保守契約時間帯・点検回数・点検日程・保守方法・備考を控える【要確認：MCM2003U 上の表示位置・項目名】。
3. 取得したファイルを手動で開いたExcelの「保守仕様明細目録」シートの7行目から下を確認する。
4. 共通手順W01に従い対象ファイルを取得し、Excelで開いて本ケースの期待結果を確認する。異常系はファイルが取得されないことを確認する。</x:v>
      </x:c>
      <x:c r="F52" s="10" t="str">
        <x:v>1. 機器構成ごとに、1行目に「◆」に続けて機器構成名が表示される。
2. その下の行に、品名（A列）、型式（B列）、契約数（C列）、総数（D列）、保守契約時間帯（E列）、点検回数（F列）、点検日程（G列）、保守方法（H列）、備考（I列）の順に、控えた値が表示される。
3. 点検回数が「{回数}回/年」の形式（例：4回/年）で表示される。点検回数が未設定の機器は空欄である。
4. 機器構成と機器構成の間に空行が入る。
5. 明細の各行に罫線が付いている。</x:v>
      </x:c>
      <x:c r="G52" s="10" t="str">
        <x:v>－</x:v>
      </x:c>
      <x:c r="H52" s="10"/>
      <x:c r="I52" s="10"/>
      <x:c r="J52" s="13"/>
      <x:c r="K52" s="10"/>
      <x:c r="L52" s="10"/>
      <x:c r="M52" s="10"/>
      <x:c r="N52" s="13"/>
      <x:c r="O52" s="10" t="str">
        <x:f>IF(L52&lt;&gt;"",L52,IF(H52="","未実施",H52))</x:f>
        <x:v>未実施</x:v>
      </x:c>
      <x:c r="P52" s="10" t="str">
        <x:v>Web根拠：Mcm2001pExcelService.java／Mcm2003uController.java。VB比較対象：Mcm2001pExcel.vb・Constant.vbと起動元画面。対応する機能条件は末尾の根拠一覧参照。</x:v>
      </x:c>
    </x:row>
    <x:row r="53" ht="78" customHeight="1">
      <x:c r="A53" s="10" t="str">
        <x:v>2001P-25</x:v>
      </x:c>
      <x:c r="B53" s="10" t="str">
        <x:v>明細目録</x:v>
      </x:c>
      <x:c r="C53" s="10" t="str">
        <x:v>保守仕様明細目録：機器が1件もない場合の出力</x:v>
      </x:c>
      <x:c r="D53" s="10" t="str">
        <x:v>【前提条件】
・共通の前提のとおり。
・プラントに機器構成（機器明細）が1件もない店舗見積。【要確認：そのデータを作れるか】</x:v>
      </x:c>
      <x:c r="E53" s="10" t="str">
        <x:v>1. 操作Aを行う。
2. 共通手順W01に従い対象ファイルを取得し、Excelで開いて本ケースの期待結果を確認する。異常系はファイルが取得されないことを確認する。</x:v>
      </x:c>
      <x:c r="F53" s="10" t="str">
        <x:v>ブランド・期間が有効で、当該ハード明細だけが0件の場合、空の明細として扱い、別ブランドのデータや合計を混入しない。帳票全体の出力可否と必要な最低構成はQ03で確定する。エラーになった出力を正常発行と判定しない。</x:v>
      </x:c>
      <x:c r="G53" s="10" t="str">
        <x:v>Web画面の通知を確認する。入力不備・対象なし等、本ケースの条件を通知する。（VBのダイアログタイトル・アイコン・メッセージIDは合否対象外）</x:v>
      </x:c>
      <x:c r="H53" s="10"/>
      <x:c r="I53" s="10"/>
      <x:c r="J53" s="13"/>
      <x:c r="K53" s="10"/>
      <x:c r="L53" s="10"/>
      <x:c r="M53" s="10"/>
      <x:c r="N53" s="13"/>
      <x:c r="O53" s="10" t="str">
        <x:f>IF(L53&lt;&gt;"",L53,IF(H53="","未実施",H53))</x:f>
        <x:v>未実施</x:v>
      </x:c>
      <x:c r="P53" s="10" t="str">
        <x:v>Web根拠：Mcm2001pExcelService.java／Mcm2003uController.java。VB比較対象：Mcm2001pExcel.vb・Constant.vbと起動元画面。対応する機能条件は末尾の根拠一覧参照。原案に推定・実機記録項目あり。判断基準は下記訂正またはQ一覧で管理。</x:v>
      </x:c>
    </x:row>
    <x:row r="54" ht="120" customHeight="1">
      <x:c r="A54" s="10" t="str">
        <x:v>2001P-26</x:v>
      </x:c>
      <x:c r="B54" s="10" t="str">
        <x:v>ハード明細</x:v>
      </x:c>
      <x:c r="C54" s="10" t="str">
        <x:v>ハードウェア保守明細：ヘッダー（納入先、プラント、適用期間、保守時間、見積NO、管理NO、作成日、作成者）が出力される</x:v>
      </x:c>
      <x:c r="D54" s="10" t="str">
        <x:v>【前提条件】
・共通の前提のとおり。</x:v>
      </x:c>
      <x:c r="E54" s="10" t="str">
        <x:v>1. 操作Aの1〜2でMCM2003Uを表示する。
2. 画面の「納入先名」「プラント名」、期間の開始日・終了日、「契約時間帯」、見積NOを控える。
3. 取得したファイルを手動で開いたExcelの「仕切原価（ハード）」に相当するシートの上部（2〜4行目）を確認する。
4. 共通手順W01に従い対象ファイルを取得し、Excelで開いて本ケースの期待結果を確認する。異常系はファイルが取得されないことを確認する。</x:v>
      </x:c>
      <x:c r="F54" s="10" t="str">
        <x:v>1. 2行目に納入先（D2付近）と見積NO（P2付近）が、3行目にプラント（D3付近）、保守時間（M3付近。「{契約時間帯}H」）、管理NO（P3付近）が表示される。
2. 4行目に、適用期間（D4付近。「開始日～終了日」）、作成日（M4付近。操作した日の日付、「yyyy/MM/dd」）、作成者（P4付近。ログインユーザーの名前）が表示される。</x:v>
      </x:c>
      <x:c r="G54" s="10" t="str">
        <x:v>－</x:v>
      </x:c>
      <x:c r="H54" s="10"/>
      <x:c r="I54" s="10"/>
      <x:c r="J54" s="13"/>
      <x:c r="K54" s="10"/>
      <x:c r="L54" s="10"/>
      <x:c r="M54" s="10"/>
      <x:c r="N54" s="13"/>
      <x:c r="O54" s="10" t="str">
        <x:f>IF(L54&lt;&gt;"",L54,IF(H54="","未実施",H54))</x:f>
        <x:v>未実施</x:v>
      </x:c>
      <x:c r="P54" s="10" t="str">
        <x:v>Web根拠：Mcm2001pExcelService.java／Mcm2003uController.java。VB比較対象：Mcm2001pExcel.vb・Constant.vbと起動元画面。対応する機能条件は末尾の根拠一覧参照。</x:v>
      </x:c>
    </x:row>
    <x:row r="55" ht="134" customHeight="1">
      <x:c r="A55" s="10" t="str">
        <x:v>2001P-27</x:v>
      </x:c>
      <x:c r="B55" s="10" t="str">
        <x:v>ハード明細</x:v>
      </x:c>
      <x:c r="C55" s="10" t="str">
        <x:v>ハードウェア保守明細：機器明細（契約数が1以上）の各項目と計算値が出力される</x:v>
      </x:c>
      <x:c r="D55" s="10" t="str">
        <x:v>【前提条件】
・共通の前提のとおり。
・契約数が1以上の機器明細が2件以上ある店舗見積。</x:v>
      </x:c>
      <x:c r="E55" s="10" t="str">
        <x:v>1. 操作Aの1〜2でMCM2003Uを表示する。
2. 機器明細ごとに、メーカー、品名、型式、契約数、総数、仕切価格、発注先、定価単価を控える【要確認：MCM2003U 上の表示位置・項目名】。
3. 取得したファイルを手動で開いたExcelの「仕切原価（ハード）」に相当するシートの6行目から下を確認する。
4. 共通手順W01に従い対象ファイルを取得し、Excelで開いて本ケースの期待結果を確認する。異常系はファイルが取得されないことを確認する。</x:v>
      </x:c>
      <x:c r="F55" s="10" t="str">
        <x:v>1. 機器構成名が、太字で表示される（「◆」は付かない）。
2. 明細に、No（1からの連番）、メーカー、品名、型式、契約数、総数、仕切価格、発注先、仕切(%)、定価単価、定価価格合計、備考が表示される。
3. 「定価価格合計」が、契約数×定価単価になっている。
4. 「仕切(%)」が、仕切価格÷定価価格合計のパーセント（「0%」形式）で表示される。計算できない場合は空欄である。
5. 金額が「\#,##0」形式で表示される。</x:v>
      </x:c>
      <x:c r="G55" s="10" t="str">
        <x:v>－</x:v>
      </x:c>
      <x:c r="H55" s="10"/>
      <x:c r="I55" s="10"/>
      <x:c r="J55" s="13"/>
      <x:c r="K55" s="10"/>
      <x:c r="L55" s="10"/>
      <x:c r="M55" s="10"/>
      <x:c r="N55" s="13"/>
      <x:c r="O55" s="10" t="str">
        <x:f>IF(L55&lt;&gt;"",L55,IF(H55="","未実施",H55))</x:f>
        <x:v>未実施</x:v>
      </x:c>
      <x:c r="P55" s="10" t="str">
        <x:v>Web根拠：Mcm2001pExcelService.java／Mcm2003uController.java。VB比較対象：Mcm2001pExcel.vb・Constant.vbと起動元画面。対応する機能条件は末尾の根拠一覧参照。</x:v>
      </x:c>
    </x:row>
    <x:row r="56" ht="106" customHeight="1">
      <x:c r="A56" s="10" t="str">
        <x:v>2001P-28</x:v>
      </x:c>
      <x:c r="B56" s="10" t="str">
        <x:v>ハード明細</x:v>
      </x:c>
      <x:c r="C56" s="10" t="str">
        <x:v>ハードウェア保守明細：契約数が0の機器明細は、仕切価格と定価価格合計が「-」で出力される</x:v>
      </x:c>
      <x:c r="D56" s="10" t="str">
        <x:v>【前提条件】
・共通の前提のとおり。
・契約数が0の機器明細を含む店舗見積。</x:v>
      </x:c>
      <x:c r="E56" s="10" t="str">
        <x:v>1. 操作Aの1〜2でMCM2003Uを表示する。
2. 契約数が0の機器明細の品名を控える。
3. 取得したファイルを手動で開いたExcelの「仕切原価（ハード）」に相当するシートで、その機器の行を確認する。
4. 共通手順W01に従い対象ファイルを取得し、Excelで開いて本ケースの期待結果を確認する。異常系はファイルが取得されないことを確認する。</x:v>
      </x:c>
      <x:c r="F56" s="10" t="str">
        <x:v>1. その機器の行の「仕切価格」と「定価価格合計」が「-」である。
2. 「発注先」「仕切(%)」「定価単価」が空欄である。</x:v>
      </x:c>
      <x:c r="G56" s="10" t="str">
        <x:v>－</x:v>
      </x:c>
      <x:c r="H56" s="10"/>
      <x:c r="I56" s="10"/>
      <x:c r="J56" s="13"/>
      <x:c r="K56" s="10"/>
      <x:c r="L56" s="10"/>
      <x:c r="M56" s="10"/>
      <x:c r="N56" s="13"/>
      <x:c r="O56" s="10" t="str">
        <x:f>IF(L56&lt;&gt;"",L56,IF(H56="","未実施",H56))</x:f>
        <x:v>未実施</x:v>
      </x:c>
      <x:c r="P56" s="10" t="str">
        <x:v>Web根拠：Mcm2001pExcelService.java／Mcm2003uController.java。VB比較対象：Mcm2001pExcel.vb・Constant.vbと起動元画面。対応する機能条件は末尾の根拠一覧参照。</x:v>
      </x:c>
    </x:row>
    <x:row r="57" ht="106" customHeight="1">
      <x:c r="A57" s="10" t="str">
        <x:v>2001P-29</x:v>
      </x:c>
      <x:c r="B57" s="10" t="str">
        <x:v>ハード明細</x:v>
      </x:c>
      <x:c r="C57" s="10" t="str">
        <x:v>ハードウェア保守明細：機器構成ごとの小計、取引先別の費用、合計が出力される</x:v>
      </x:c>
      <x:c r="D57" s="10" t="str">
        <x:v>【前提条件】
・共通の前提のとおり。
・機器構成が2件以上あり、取引先（発注先）が2社以上ある店舗見積。</x:v>
      </x:c>
      <x:c r="E57" s="10" t="str">
        <x:v>1. 操作Aの1〜2でMCM2003Uを表示する。
2. 取得したファイルを手動で開いたExcelの「仕切原価（ハード）」に相当するシートで、機器構成ごとの「小計」行、取引先別の行、「合計」行を確認し、金額を控えて計算する。
3. 共通手順W01に従い対象ファイルを取得し、Excelで開いて本ケースの期待結果を確認する。異常系はファイルが取得されないことを確認する。</x:v>
      </x:c>
      <x:c r="F57" s="10" t="str">
        <x:v>1. 機器構成ごとの明細の下に「小計」行があり、仕切価格と定価価格合計が、その構成の明細の合計になっている。「仕切(%)」が小計同士の割合で表示される。
2. その下に、取引先ごとの行（取引先名、仕切価格、仕切(%)、定価価格合計）が表示される。内製の場合は「社内対応」が表示される。
3. 最後に「合計」行があり、取引先ごとの行の合計になっている。</x:v>
      </x:c>
      <x:c r="G57" s="10" t="str">
        <x:v>－</x:v>
      </x:c>
      <x:c r="H57" s="10"/>
      <x:c r="I57" s="10"/>
      <x:c r="J57" s="13"/>
      <x:c r="K57" s="10"/>
      <x:c r="L57" s="10"/>
      <x:c r="M57" s="10"/>
      <x:c r="N57" s="13"/>
      <x:c r="O57" s="10" t="str">
        <x:f>IF(L57&lt;&gt;"",L57,IF(H57="","未実施",H57))</x:f>
        <x:v>未実施</x:v>
      </x:c>
      <x:c r="P57" s="10" t="str">
        <x:v>Web根拠：Mcm2001pExcelService.java／Mcm2003uController.java。VB比較対象：Mcm2001pExcel.vb・Constant.vbと起動元画面。対応する機能条件は末尾の根拠一覧参照。</x:v>
      </x:c>
    </x:row>
    <x:row r="58" ht="120" customHeight="1">
      <x:c r="A58" s="10" t="str">
        <x:v>2001P-30</x:v>
      </x:c>
      <x:c r="B58" s="10" t="str">
        <x:v>見積原価表</x:v>
      </x:c>
      <x:c r="C58" s="10" t="str">
        <x:v>見積原価表：ヘッダー（ブランド、納入先、プラント、適用期間、保守時間、見積NO、管理NO、作成日、作成者）が出力される</x:v>
      </x:c>
      <x:c r="D58" s="10" t="str">
        <x:v>【前提条件】
・共通の前提のとおり。</x:v>
      </x:c>
      <x:c r="E58" s="10" t="str">
        <x:v>1. 操作Aの1〜2でMCM2003Uを表示する。
2. ブランド詳細名、画面の「納入先名」「プラント名」、期間の開始日・終了日、「契約時間帯」、見積NOを控える。
3. 取得したファイルを手動で開いたExcelの「見積原価表」シートの上部（2〜5行目）を確認する。
4. 共通手順W01に従い対象ファイルを取得し、Excelで開いて本ケースの期待結果を確認する。異常系はファイルが取得されないことを確認する。</x:v>
      </x:c>
      <x:c r="F58" s="10" t="str">
        <x:v>1. 2行目（B2付近）に、ブランド詳細名が表示される。
2. 3行目に納入先（E3付近）と見積NO（K3付近）、4行目にプラント（E4付近）、保守時間（I4付近。「{契約時間帯}H」）、管理NO（K4付近）が表示される。
3. 5行目に、適用期間（E5付近）、作成日（I5付近。操作した日の日付）、作成者（K5付近。ログインユーザーの名前）が表示される。</x:v>
      </x:c>
      <x:c r="G58" s="10" t="str">
        <x:v>－</x:v>
      </x:c>
      <x:c r="H58" s="10"/>
      <x:c r="I58" s="10"/>
      <x:c r="J58" s="13"/>
      <x:c r="K58" s="10"/>
      <x:c r="L58" s="10"/>
      <x:c r="M58" s="10"/>
      <x:c r="N58" s="13"/>
      <x:c r="O58" s="10" t="str">
        <x:f>IF(L58&lt;&gt;"",L58,IF(H58="","未実施",H58))</x:f>
        <x:v>未実施</x:v>
      </x:c>
      <x:c r="P58" s="10" t="str">
        <x:v>Web根拠：Mcm2001pExcelService.java／Mcm2003uController.java。VB比較対象：Mcm2001pExcel.vb・Constant.vbと起動元画面。対応する機能条件は末尾の根拠一覧参照。</x:v>
      </x:c>
    </x:row>
    <x:row r="59" ht="148" customHeight="1">
      <x:c r="A59" s="10" t="str">
        <x:v>2001P-31</x:v>
      </x:c>
      <x:c r="B59" s="10" t="str">
        <x:v>見積原価表</x:v>
      </x:c>
      <x:c r="C59" s="10" t="str">
        <x:v>見積原価表：ハードウェア保守費、ソフトウェア保守費、コントローラ保守費の行が出力される</x:v>
      </x:c>
      <x:c r="D59" s="10" t="str">
        <x:v>【前提条件】
・共通の前提のとおり。
・コントローラを含む店舗見積。</x:v>
      </x:c>
      <x:c r="E59" s="10" t="str">
        <x:v>1. 操作Aの1〜2でMCM2003Uを表示する。
2. 取得したファイルを手動で開いたExcelの「見積原価表」シートの9行目から下を確認する。
3. 共通手順W01に従い対象ファイルを取得し、Excelで開いて本ケースの期待結果を確認する。異常系はファイルが取得されないことを確認する。</x:v>
      </x:c>
      <x:c r="F59" s="10" t="str">
        <x:v>1. 「・ハードウェア保守費」の見出しの下に、取引先とメーカーごとの行が表示され、コストにあたる金額（仕切合計）、発注先、プライスにあたる金額（標準合計）が表示される。
2. 「・ソフトウェア保守費」の見出しの下に、「システムサポート費」「DTSサポート費」「ダイフク技術料」の行が表示され、コストが0、発注先が「社内対応」である。「調整費」の行は、金額が0から調整費を引いた値（マイナス）で表示される。
3. 「・コントローラ保守費」の見出しの下に、コントローラの機器と取引先ごとの行が表示され、コストが0、プライスの欄が「上記金額に含む」である。</x:v>
      </x:c>
      <x:c r="G59" s="10" t="str">
        <x:v>－</x:v>
      </x:c>
      <x:c r="H59" s="10"/>
      <x:c r="I59" s="10"/>
      <x:c r="J59" s="13"/>
      <x:c r="K59" s="10"/>
      <x:c r="L59" s="10"/>
      <x:c r="M59" s="10"/>
      <x:c r="N59" s="13"/>
      <x:c r="O59" s="10" t="str">
        <x:f>IF(L59&lt;&gt;"",L59,IF(H59="","未実施",H59))</x:f>
        <x:v>未実施</x:v>
      </x:c>
      <x:c r="P59" s="10" t="str">
        <x:v>Web根拠：Mcm2001pExcelService.java／Mcm2003uController.java。VB比較対象：Mcm2001pExcel.vb・Constant.vbと起動元画面。対応する機能条件は末尾の根拠一覧参照。</x:v>
      </x:c>
    </x:row>
    <x:row r="60" ht="106" customHeight="1">
      <x:c r="A60" s="10" t="str">
        <x:v>2001P-32</x:v>
      </x:c>
      <x:c r="B60" s="10" t="str">
        <x:v>見積原価表</x:v>
      </x:c>
      <x:c r="C60" s="10" t="str">
        <x:v>見積原価表：DREMOSを使うブランドでは「・DREMOS使用費」と注記が出力され、使わないブランドでは出力されない</x:v>
      </x:c>
      <x:c r="D60" s="10" t="str">
        <x:v>【前提条件】
・共通の前提のとおり。
・DREMOSの使用がONのブランドと、OFFのブランドが、どちらもある店舗見積。</x:v>
      </x:c>
      <x:c r="E60" s="10" t="str">
        <x:v>1. 操作Aを行う。
2. 取得したファイルを手動で開いたExcelの「見積原価表」のシートについて、ブランドごとに「・DREMOS使用費」の有無を確認する。
3. 共通手順W01に従い対象ファイルを取得し、Excelで開いて本ケースの期待結果を確認する。異常系はファイルが取得されないことを確認する。</x:v>
      </x:c>
      <x:c r="F60" s="10" t="str">
        <x:v>1. DREMOSの使用がONのブランドのシートに「・DREMOS使用費」の行があり、数量が「1式」、注記が2行（「※導入年に\230,000（本体購入費 \180,000、」「SW調整費 \50,000)が別途必要になります。」）表示される。
2. DREMOSの使用がOFFのブランドのシートに、「・DREMOS使用費」の行がない。</x:v>
      </x:c>
      <x:c r="G60" s="10" t="str">
        <x:v>－</x:v>
      </x:c>
      <x:c r="H60" s="10"/>
      <x:c r="I60" s="10"/>
      <x:c r="J60" s="13"/>
      <x:c r="K60" s="10"/>
      <x:c r="L60" s="10"/>
      <x:c r="M60" s="10"/>
      <x:c r="N60" s="13"/>
      <x:c r="O60" s="10" t="str">
        <x:f>IF(L60&lt;&gt;"",L60,IF(H60="","未実施",H60))</x:f>
        <x:v>未実施</x:v>
      </x:c>
      <x:c r="P60" s="10" t="str">
        <x:v>DREMOSのコスト34800・発注先NTTは原案が挙げるVB固定値。現在も業務上維持するかQ03で確認。原価表に出力する値は承認した基準データと照合し、固定値を実測だけで正当化しない。</x:v>
      </x:c>
    </x:row>
    <x:row r="61" ht="148" customHeight="1">
      <x:c r="A61" s="10" t="str">
        <x:v>2001P-33</x:v>
      </x:c>
      <x:c r="B61" s="10" t="str">
        <x:v>見積原価表</x:v>
      </x:c>
      <x:c r="C61" s="10" t="str">
        <x:v>見積原価表：合計の行が、コストとプライスの合計になる</x:v>
      </x:c>
      <x:c r="D61" s="10" t="str">
        <x:v>【前提条件】
・共通の前提のとおり。</x:v>
      </x:c>
      <x:c r="E61" s="10" t="str">
        <x:v>1. 操作Aを行う。
2. 取得したファイルを手動で開いたExcelの「見積原価表」シートで、ハードウェア保守費、ソフトウェア保守費、コントローラ保守費、DREMOS使用費の各行の、コストとプライスの金額を控える。
3. 最下部の合計の行（59行目付近）の、コストとプライスを確認する。
4. 共通手順W01に従い対象ファイルを取得し、Excelで開いて本ケースの期待結果を確認する。異常系はファイルが取得されないことを確認する。</x:v>
      </x:c>
      <x:c r="F61" s="10" t="str">
        <x:v>1. 合計のコストが、各行のコストの合計（DREMOS使用費を含む）になっている。
2. 合計のプライスが、各行のプライスの合計になっている（プライスが「上記金額に含む」の行は合計に含めない）。
3. 合計の金額が「\#,##0」形式で表示される。</x:v>
      </x:c>
      <x:c r="G61" s="10" t="str">
        <x:v>－</x:v>
      </x:c>
      <x:c r="H61" s="10"/>
      <x:c r="I61" s="10"/>
      <x:c r="J61" s="13"/>
      <x:c r="K61" s="10"/>
      <x:c r="L61" s="10"/>
      <x:c r="M61" s="10"/>
      <x:c r="N61" s="13"/>
      <x:c r="O61" s="10" t="str">
        <x:f>IF(L61&lt;&gt;"",L61,IF(H61="","未実施",H61))</x:f>
        <x:v>未実施</x:v>
      </x:c>
      <x:c r="P61" s="10" t="str">
        <x:v>Web根拠：Mcm2001pExcelService.java／Mcm2003uController.java。VB比較対象：Mcm2001pExcel.vb・Constant.vbと起動元画面。対応する機能条件は末尾の根拠一覧参照。</x:v>
      </x:c>
    </x:row>
    <x:row r="62" ht="120" customHeight="1">
      <x:c r="A62" s="10" t="str">
        <x:v>2001P-34</x:v>
      </x:c>
      <x:c r="B62" s="10" t="str">
        <x:v>ソフト明細</x:v>
      </x:c>
      <x:c r="C62" s="10" t="str">
        <x:v>ソフトウェア保守費明細：ヘッダー（納入先、プラント、適用期間、作成日、見積NO、管理NO、作成者）が出力される</x:v>
      </x:c>
      <x:c r="D62" s="10" t="str">
        <x:v>【前提条件】
・共通の前提のとおり。</x:v>
      </x:c>
      <x:c r="E62" s="10" t="str">
        <x:v>1. 操作Aの1〜2でMCM2003Uを表示する。
2. 画面の「納入先名」「プラント名」、期間の開始日・終了日、見積NOを控える。
3. 取得したファイルを手動で開いたExcelの「仕切原価（ソフト）」に相当するシートの上部（2〜4行目）を確認する。
4. 共通手順W01に従い対象ファイルを取得し、Excelで開いて本ケースの期待結果を確認する。異常系はファイルが取得されないことを確認する。</x:v>
      </x:c>
      <x:c r="F62" s="10" t="str">
        <x:v>1. 2行目に納入先（C2付近）と見積NO（J2付近）、3行目にプラント（C3付近）と管理NO（J3付近）が表示される。
2. 4行目に、適用期間（C4付近）、作成日（G4付近。操作した日の日付）、作成者（J4付近）が表示される。
3. ヘッダー以外の欄（ブランド別の金額の表など）には、出力による値は入らない（テンプレートの固定の値のまま）。</x:v>
      </x:c>
      <x:c r="G62" s="10" t="str">
        <x:v>－</x:v>
      </x:c>
      <x:c r="H62" s="10"/>
      <x:c r="I62" s="10"/>
      <x:c r="J62" s="13"/>
      <x:c r="K62" s="10"/>
      <x:c r="L62" s="10"/>
      <x:c r="M62" s="10"/>
      <x:c r="N62" s="13"/>
      <x:c r="O62" s="10" t="str">
        <x:f>IF(L62&lt;&gt;"",L62,IF(H62="","未実施",H62))</x:f>
        <x:v>未実施</x:v>
      </x:c>
      <x:c r="P62" s="10" t="str">
        <x:v>Web根拠：Mcm2001pExcelService.java／Mcm2003uController.java。VB比較対象：Mcm2001pExcel.vb・Constant.vbと起動元画面。対応する機能条件は末尾の根拠一覧参照。</x:v>
      </x:c>
    </x:row>
    <x:row r="63" ht="106" customHeight="1">
      <x:c r="A63" s="10" t="str">
        <x:v>2001P-35</x:v>
      </x:c>
      <x:c r="B63" s="10" t="str">
        <x:v>担当者印</x:v>
      </x:c>
      <x:c r="C63" s="10" t="str">
        <x:v>店舗見積書類：担当者印の名前と日付が出力される</x:v>
      </x:c>
      <x:c r="D63" s="10" t="str">
        <x:v>【前提条件】
・共通の前提のとおり。</x:v>
      </x:c>
      <x:c r="E63" s="10" t="str">
        <x:v>1. 操作Aを行う。
2. 取得したファイルを手動で開いたExcelの「見積総括表」「保守見積総括表(原価)」の右上付近の、承認・審査・担当の印の「担当」を確認する。
3. 共通手順W01に従い対象ファイルを取得し、Excelで開いて本ケースの期待結果を確認する。異常系はファイルが取得されないことを確認する。</x:v>
      </x:c>
      <x:c r="F63" s="10" t="str">
        <x:v>1. 担当者印に3段の文字が表示される。
2. 上段が「DTS」である。
3. 中段が、操作した日の日付で、「yy.MM.dd」の形式（例：26.10.06）である。
4. 下段が、ログインユーザーの姓と同じである。</x:v>
      </x:c>
      <x:c r="G63" s="10" t="str">
        <x:v>－</x:v>
      </x:c>
      <x:c r="H63" s="10"/>
      <x:c r="I63" s="10"/>
      <x:c r="J63" s="13"/>
      <x:c r="K63" s="10"/>
      <x:c r="L63" s="10"/>
      <x:c r="M63" s="10"/>
      <x:c r="N63" s="13"/>
      <x:c r="O63" s="10" t="str">
        <x:f>IF(L63&lt;&gt;"",L63,IF(H63="","未実施",H63))</x:f>
        <x:v>未実施</x:v>
      </x:c>
      <x:c r="P63" s="10" t="str">
        <x:v>Web根拠：Mcm2001pExcelService.java／Mcm2003uController.java。VB比較対象：Mcm2001pExcel.vb・Constant.vbと起動元画面。対応する機能条件は末尾の根拠一覧参照。</x:v>
      </x:c>
    </x:row>
    <x:row r="64" ht="120" customHeight="1">
      <x:c r="A64" s="10" t="str">
        <x:v>2001P-36</x:v>
      </x:c>
      <x:c r="B64" s="10" t="str">
        <x:v>ボタン制御</x:v>
      </x:c>
      <x:c r="C64" s="10" t="str">
        <x:v>MCM2003U：編集できない状態の店舗見積では「見積発行」が押せない</x:v>
      </x:c>
      <x:c r="D64" s="10" t="str">
        <x:v>【前提条件】
・ログインユーザーが店舗見積の更新権限を持つ。
・状態が「破棄」または「解約」、または承認状態が「審査中」「承認中」「承認済」の店舗見積が、MCM2004Uの一覧にある。</x:v>
      </x:c>
      <x:c r="E64" s="10" t="str">
        <x:v>1. メニュー(MCM0001U)で「店舗見積・契約検索」ボタンを押下し、MCM2004Uを表示する。
2. 上記の状態の店舗見積の「見積NO」のリンクを押下して、MCM2003Uを表示する。
3. 画面右下の「見積発行」ボタンの状態を確認する。
4. 共通手順W01に従い対象ファイルを取得し、Excelで開いて本ケースの期待結果を確認する。異常系はファイルが取得されないことを確認する。</x:v>
      </x:c>
      <x:c r="F64" s="10" t="str">
        <x:v>1. 画面の「状態」または「承認状態」が、上記のいずれかである。
2. 「見積発行」ボタンが非活性（グレー表示）である。</x:v>
      </x:c>
      <x:c r="G64" s="10" t="str">
        <x:v>－</x:v>
      </x:c>
      <x:c r="H64" s="10"/>
      <x:c r="I64" s="10"/>
      <x:c r="J64" s="13"/>
      <x:c r="K64" s="10"/>
      <x:c r="L64" s="10"/>
      <x:c r="M64" s="10"/>
      <x:c r="N64" s="13"/>
      <x:c r="O64" s="10" t="str">
        <x:f>IF(L64&lt;&gt;"",L64,IF(H64="","未実施",H64))</x:f>
        <x:v>未実施</x:v>
      </x:c>
      <x:c r="P64" s="10" t="str">
        <x:v>Web根拠：Mcm2001pExcelService.java／Mcm2003uController.java。VB比較対象：Mcm2001pExcel.vb・Constant.vbと起動元画面。対応する機能条件は末尾の根拠一覧参照。</x:v>
      </x:c>
    </x:row>
    <x:row r="65" ht="120" customHeight="1">
      <x:c r="A65" s="10" t="str">
        <x:v>2001P-37</x:v>
      </x:c>
      <x:c r="B65" s="10" t="str">
        <x:v>権限</x:v>
      </x:c>
      <x:c r="C65" s="10" t="str">
        <x:v>MCM2003U：参照のみ権限のユーザーでは「見積発行」が押せない</x:v>
      </x:c>
      <x:c r="D65" s="10" t="str">
        <x:v>【前提条件】
・ログインユーザーの「保守見積内容基本設定」の画面権限が「参照」である。【要確認：参照権限のユーザーの用意】
・状態が「作成中」の店舗見積が、MCM2004Uの一覧にある。</x:v>
      </x:c>
      <x:c r="E65" s="10" t="str">
        <x:v>1. メニュー(MCM0001U)で「店舗見積・契約検索」ボタンを押下し、MCM2004Uを表示する。
2. 対象の店舗見積の「見積NO」のリンクを押下して、MCM2003Uを表示する。
3. 画面右下の「見積発行」ボタンの状態を確認する。
4. 共通手順W01に従い対象ファイルを取得し、Excelで開いて本ケースの期待結果を確認する。異常系はファイルが取得されないことを確認する。</x:v>
      </x:c>
      <x:c r="F65" s="10" t="str">
        <x:v>1. 「見積発行」ボタンが非活性（グレー表示）である。</x:v>
      </x:c>
      <x:c r="G65" s="10" t="str">
        <x:v>－</x:v>
      </x:c>
      <x:c r="H65" s="10"/>
      <x:c r="I65" s="10"/>
      <x:c r="J65" s="13"/>
      <x:c r="K65" s="10"/>
      <x:c r="L65" s="10"/>
      <x:c r="M65" s="10"/>
      <x:c r="N65" s="13"/>
      <x:c r="O65" s="10" t="str">
        <x:f>IF(L65&lt;&gt;"",L65,IF(H65="","未実施",H65))</x:f>
        <x:v>未実施</x:v>
      </x:c>
      <x:c r="P65" s="10" t="str">
        <x:v>Web根拠：Mcm2001pExcelService.java／Mcm2003uController.java。VB比較対象：Mcm2001pExcel.vb・Constant.vbと起動元画面。対応する機能条件は末尾の根拠一覧参照。</x:v>
      </x:c>
    </x:row>
    <x:row r="66" ht="176" customHeight="1">
      <x:c r="A66" s="10" t="str">
        <x:v>2001P-38</x:v>
      </x:c>
      <x:c r="B66" s="10" t="str">
        <x:v>登録を伴う発行</x:v>
      </x:c>
      <x:c r="C66" s="10" t="str">
        <x:v>「見積発行」：画面に変更がない場合、状態が「作成中」から「見積」に変わり、確認メッセージなしでファイルが出力される</x:v>
      </x:c>
      <x:c r="D66" s="10" t="str">
        <x:v>【前提条件】
・共通の前提のとおり。
・状態が「作成中」の店舗見積（MCM2004Uの一覧で確認できる）。</x:v>
      </x:c>
      <x:c r="E66" s="10" t="str">
        <x:v>1. メニュー(MCM0001U)で「店舗見積・契約検索」ボタンを押下し、MCM2004Uを表示する。
2. 状態が「作成中」の店舗見積の「見積NO」を控える。
3. その「見積NO」のリンクを押下して、MCM2003Uを表示する。画面の内容は変更しない。
4. 「見積発行」ボタンを押下する。確認のメッセージが表示されないことを確認する。
5. Excelを閉じて、MCM2003Uの「店舗見積・契約検索画面へ」のボタンでMCM2004Uに戻り、同じ見積NOの状態を確認する。
6. 共通手順W01に従い対象ファイルを取得し、Excelで開いて本ケースの期待結果を確認する。異常系はファイルが取得されないことを確認する。</x:v>
      </x:c>
      <x:c r="F66" s="10" t="str">
        <x:v>発行成功後に「見積を発行しました。Excel帳票をダウンロードできます。」の案内が表示され、対象帳票を取得できる。保存された同じ見積NOの状態が「見積」になる。取得のキャンセルだけでは発行済み状態を戻さない。</x:v>
      </x:c>
      <x:c r="G66" s="10" t="str">
        <x:v>見積を発行しました。Excel帳票をダウンロードできます。</x:v>
      </x:c>
      <x:c r="H66" s="10"/>
      <x:c r="I66" s="10"/>
      <x:c r="J66" s="13"/>
      <x:c r="K66" s="10"/>
      <x:c r="L66" s="10"/>
      <x:c r="M66" s="10"/>
      <x:c r="N66" s="13"/>
      <x:c r="O66" s="10" t="str">
        <x:f>IF(L66&lt;&gt;"",L66,IF(H66="","未実施",H66))</x:f>
        <x:v>未実施</x:v>
      </x:c>
      <x:c r="P66" s="10" t="str">
        <x:v>Web根拠：Mcm2001pExcelService.java／Mcm2003uController.java。VB比較対象：Mcm2001pExcel.vb・Constant.vbと起動元画面。対応する機能条件は末尾の根拠一覧参照。</x:v>
      </x:c>
    </x:row>
    <x:row r="67" ht="190" customHeight="1">
      <x:c r="A67" s="10" t="str">
        <x:v>2001P-39</x:v>
      </x:c>
      <x:c r="B67" s="10" t="str">
        <x:v>登録を伴う発行</x:v>
      </x:c>
      <x:c r="C67" s="10" t="str">
        <x:v>「見積発行」：画面に変更がある場合、登録の確認メッセージが表示され、「はい」で登録してから出力される</x:v>
      </x:c>
      <x:c r="D67" s="10" t="str">
        <x:v>【前提条件】
・共通の前提のとおり。
・契約金額変動時期が1つ以上選択されている店舗見積。</x:v>
      </x:c>
      <x:c r="E67" s="10" t="str">
        <x:v>1. 操作Aの1〜2でMCM2003Uを表示する。
2. 画面の変更可能な項目（例：見積有効期限）を1つ書き換える。
3. 　【入力値】見積有効期限＝（元の値と異なる日付）
4. 「見積発行」ボタンを押下する。
5. 表示された確認メッセージの内容を確認し、「OK」または「はい」（肯定の選択肢）を押下する。
6. 完了メッセージの「OK」を押下する。
7. 取得したファイルを手動で開いたExcelの「保守見積書」に相当するシートの見積有効期限（Z9付近）を確認する。
8. 共通手順W01に従い対象ファイルを取得し、Excelで開いて本ケースの期待結果を確認する。異常系はファイルが取得されないことを確認する。</x:v>
      </x:c>
      <x:c r="F67" s="10" t="str">
        <x:v>発行時に入力した見積有効期限等が登録され、その登録値が同じ対象の帳票へ出力される。発行成功の案内と取得操作を確認する。VBの登録確認・登録完了ダイアログをそのまま必須にはしない。入力不備・登録失敗時は未登録値の帳票を成功として返さない。</x:v>
      </x:c>
      <x:c r="G67" s="10" t="str">
        <x:v>正常時：見積を発行しました。Excel帳票をダウンロードできます。確認操作の有無はQ03。</x:v>
      </x:c>
      <x:c r="H67" s="10"/>
      <x:c r="I67" s="10"/>
      <x:c r="J67" s="13"/>
      <x:c r="K67" s="10"/>
      <x:c r="L67" s="10"/>
      <x:c r="M67" s="10"/>
      <x:c r="N67" s="13"/>
      <x:c r="O67" s="10" t="str">
        <x:f>IF(L67&lt;&gt;"",L67,IF(H67="","未実施",H67))</x:f>
        <x:v>未実施</x:v>
      </x:c>
      <x:c r="P67" s="10" t="str">
        <x:v>Web根拠：Mcm2001pExcelService.java／Mcm2003uController.java。VB比較対象：Mcm2001pExcel.vb・Constant.vbと起動元画面。対応する機能条件は末尾の根拠一覧参照。</x:v>
      </x:c>
    </x:row>
    <x:row r="68" ht="64" customHeight="1">
      <x:c r="A68" s="10" t="str">
        <x:v>2001P-40</x:v>
      </x:c>
      <x:c r="B68" s="10" t="str">
        <x:v>登録を伴う発行</x:v>
      </x:c>
      <x:c r="C68" s="10" t="str">
        <x:v>「見積発行」：登録の確認メッセージで「キャンセル」すると、出力されない</x:v>
      </x:c>
      <x:c r="D68" s="10" t="str">
        <x:v>【前提条件】
・2001P-39と同じ。</x:v>
      </x:c>
      <x:c r="E68" s="10" t="str">
        <x:v>1. 発行前の見積状態と値を控える。
2. 発行操作時にアプリが示す確認を取り消す。
3. 入力値・状態・取得リンク・成功通知を確認する。アプリ側確認の有無・文言はQ03を先に確定する。</x:v>
      </x:c>
      <x:c r="F68" s="10" t="str">
        <x:v>アプリの発行確認で取り消した場合は登録・状態変更・帳票発行をしない。入力途中の値を維持し、成功通知を表示しない。ブラウザ保存取消は2001P-2で確認する。</x:v>
      </x:c>
      <x:c r="G68" s="10" t="str">
        <x:v>－</x:v>
      </x:c>
      <x:c r="H68" s="10"/>
      <x:c r="I68" s="10"/>
      <x:c r="J68" s="13"/>
      <x:c r="K68" s="10"/>
      <x:c r="L68" s="10"/>
      <x:c r="M68" s="10"/>
      <x:c r="N68" s="13"/>
      <x:c r="O68" s="10" t="str">
        <x:f>IF(L68&lt;&gt;"",L68,IF(H68="","未実施",H68))</x:f>
        <x:v>未実施</x:v>
      </x:c>
      <x:c r="P68" s="10" t="str">
        <x:v>Web根拠：Mcm2001pExcelService.java／Mcm2003uController.java。VB比較対象：Mcm2001pExcel.vb・Constant.vbと起動元画面。対応する機能条件は末尾の根拠一覧参照。</x:v>
      </x:c>
    </x:row>
    <x:row r="69" ht="120" customHeight="1">
      <x:c r="A69" s="10" t="str">
        <x:v>2001P-41</x:v>
      </x:c>
      <x:c r="B69" s="10" t="str">
        <x:v>登録を伴う発行</x:v>
      </x:c>
      <x:c r="C69" s="10" t="str">
        <x:v>「見積発行」：契約金額変動時期が1つも選択されていない場合のメッセージ</x:v>
      </x:c>
      <x:c r="D69" s="10" t="str">
        <x:v>【前提条件】
・共通の前提のとおり。
・画面に変更があり、契約金額変動時期が1つも選択されていない状態にできる店舗見積。</x:v>
      </x:c>
      <x:c r="E69" s="10" t="str">
        <x:v>1. 操作Aの1〜2でMCM2003Uを表示する。
2. 契約金額変動時期の選択をすべて外し、画面の別の項目を書き換える。
3. 「見積発行」ボタンを押下する。
4. 表示されたメッセージの内容を確認し、「OK」を押下する。
5. 共通手順W01に従い対象ファイルを取得し、Excelで開いて本ケースの期待結果を確認する。異常系はファイルが取得されないことを確認する。</x:v>
      </x:c>
      <x:c r="F69" s="10" t="str">
        <x:v>契約金額変動時期を1件以上選択する必要を通知する。不備のまま登録・状態変更・正常帳票出力を進めない。登録を抜けた後の後続出力を成功と扱わない。</x:v>
      </x:c>
      <x:c r="G69" s="10" t="str">
        <x:v>Web画面の通知を確認する。対応する内容：契約金額変動時期は、1件以上選択してください。（VBのダイアログタイトル・アイコン・メッセージIDは合否対象外）</x:v>
      </x:c>
      <x:c r="H69" s="10"/>
      <x:c r="I69" s="10"/>
      <x:c r="J69" s="13"/>
      <x:c r="K69" s="10"/>
      <x:c r="L69" s="10"/>
      <x:c r="M69" s="10"/>
      <x:c r="N69" s="13"/>
      <x:c r="O69" s="10" t="str">
        <x:f>IF(L69&lt;&gt;"",L69,IF(H69="","未実施",H69))</x:f>
        <x:v>未実施</x:v>
      </x:c>
      <x:c r="P69" s="10" t="str">
        <x:v>発行前検査。VB通知の例外経路と登録呼出元のエラー伝播を確認する。Webの更新・生成が一括して失敗するかは実機未確認。</x:v>
      </x:c>
    </x:row>
    <x:row r="70" ht="45" customHeight="1">
      <x:c r="A70" s="10" t="str">
        <x:v>2001P-42</x:v>
      </x:c>
      <x:c r="B70" s="10" t="str">
        <x:v>追加／境界</x:v>
      </x:c>
      <x:c r="C70" s="10" t="str">
        <x:v>リモート不使用の条件分岐</x:v>
      </x:c>
      <x:c r="D70" s="10" t="str">
        <x:v>DREMOS・リモートとも未使用のブランドと使用ブランドを別々に準備。</x:v>
      </x:c>
      <x:c r="E70" s="10" t="str">
        <x:v>各帳票を出力し総括・原価欄を比較。</x:v>
      </x:c>
      <x:c r="F70" s="10" t="str">
        <x:v>不使用の行・小計に使用ブランドの額が混入しない。使用時だけ所定の行が現れる。</x:v>
      </x:c>
      <x:c r="G70" s="10" t="str">
        <x:v>－</x:v>
      </x:c>
      <x:c r="H70" s="10"/>
      <x:c r="I70" s="10"/>
      <x:c r="J70" s="13"/>
      <x:c r="K70" s="10"/>
      <x:c r="L70" s="10"/>
      <x:c r="M70" s="10"/>
      <x:c r="N70" s="13"/>
      <x:c r="O70" s="10" t="str">
        <x:f>IF(L70&lt;&gt;"",L70,IF(H70="","未実施",H70))</x:f>
        <x:v>未実施</x:v>
      </x:c>
      <x:c r="P70" s="10" t="str">
        <x:v>追加観点。Web根拠一覧参照。</x:v>
      </x:c>
    </x:row>
    <x:row r="71" ht="45" customHeight="1">
      <x:c r="A71" s="10" t="str">
        <x:v>2001P-43</x:v>
      </x:c>
      <x:c r="B71" s="10" t="str">
        <x:v>追加／境界</x:v>
      </x:c>
      <x:c r="C71" s="10" t="str">
        <x:v>長い条件・大量機器と印刷範囲</x:v>
      </x:c>
      <x:c r="D71" s="10" t="str">
        <x:v>見積条件を原紙行数超、ハード明細・目録・原価項目を原紙明細枠超にする。</x:v>
      </x:c>
      <x:c r="E71" s="10" t="str">
        <x:v>出力し全件・数式参照・最終印刷行を確認。</x:v>
      </x:c>
      <x:c r="F71" s="10" t="str">
        <x:v>挿入行に書式を引き継ぎ、条件・明細・注記・合計を上書きしない。全内容が印刷範囲内にあり、数式に#REF!を生じない。</x:v>
      </x:c>
      <x:c r="G71" s="10" t="str">
        <x:v>－</x:v>
      </x:c>
      <x:c r="H71" s="10"/>
      <x:c r="I71" s="10"/>
      <x:c r="J71" s="13"/>
      <x:c r="K71" s="10"/>
      <x:c r="L71" s="10"/>
      <x:c r="M71" s="10"/>
      <x:c r="N71" s="13"/>
      <x:c r="O71" s="10" t="str">
        <x:f>IF(L71&lt;&gt;"",L71,IF(H71="","未実施",H71))</x:f>
        <x:v>未実施</x:v>
      </x:c>
      <x:c r="P71" s="10" t="str">
        <x:v>追加観点。Web根拠一覧参照。</x:v>
      </x:c>
    </x:row>
    <x:row r="72" ht="50" customHeight="1">
      <x:c r="A72" s="10" t="str">
        <x:v>2001P-44</x:v>
      </x:c>
      <x:c r="B72" s="10" t="str">
        <x:v>追加／境界</x:v>
      </x:c>
      <x:c r="C72" s="10" t="str">
        <x:v>複数ブランド期間の複製汚染防止</x:v>
      </x:c>
      <x:c r="D72" s="10" t="str">
        <x:v>2ブランド×2期間で品名・数量・金額を全組別に設定。</x:v>
      </x:c>
      <x:c r="E72" s="10" t="str">
        <x:v>各5シート組と共通2シートを照合。</x:v>
      </x:c>
      <x:c r="F72" s="10" t="str">
        <x:v>2ブランド×2期間の各組に、その組だけの品名・数量・期間・金額・印が入る。先に出力した組のデータを持ち越さない。シート数・組の増加は2001P-4を参照し、重ねて合否判定しない。</x:v>
      </x:c>
      <x:c r="G72" s="10" t="str">
        <x:v>－</x:v>
      </x:c>
      <x:c r="H72" s="10"/>
      <x:c r="I72" s="10"/>
      <x:c r="J72" s="13"/>
      <x:c r="K72" s="10"/>
      <x:c r="L72" s="10"/>
      <x:c r="M72" s="10"/>
      <x:c r="N72" s="13"/>
      <x:c r="O72" s="10" t="str">
        <x:f>IF(L72&lt;&gt;"",L72,IF(H72="","未実施",H72))</x:f>
        <x:v>未実施</x:v>
      </x:c>
      <x:c r="P72" s="10" t="str">
        <x:v>追加観点。Web根拠一覧参照。</x:v>
      </x:c>
    </x:row>
    <x:row r="73" ht="45" customHeight="1">
      <x:c r="A73" s="10" t="str">
        <x:v>2001P-45</x:v>
      </x:c>
      <x:c r="B73" s="10" t="str">
        <x:v>追加／境界</x:v>
      </x:c>
      <x:c r="C73" s="10" t="str">
        <x:v>ゼロ値・端数の計算</x:v>
      </x:c>
      <x:c r="D73" s="10" t="str">
        <x:v>通常額・0・端数を含む原価／プライスの対象を準備。</x:v>
      </x:c>
      <x:c r="E73" s="10" t="str">
        <x:v>明細・小計・合計・割合を独立計算と照合。</x:v>
      </x:c>
      <x:c r="F73" s="10" t="str">
        <x:v>二重計上・端数の意図しない切捨てがなく、ゼロ分母で#DIV/0!を表示しない。端数規則・ゼロ割合の表示はQ03の承認値で判定。</x:v>
      </x:c>
      <x:c r="G73" s="10" t="str">
        <x:v>－</x:v>
      </x:c>
      <x:c r="H73" s="10"/>
      <x:c r="I73" s="10"/>
      <x:c r="J73" s="13"/>
      <x:c r="K73" s="10"/>
      <x:c r="L73" s="10"/>
      <x:c r="M73" s="10"/>
      <x:c r="N73" s="13"/>
      <x:c r="O73" s="10" t="str">
        <x:f>IF(L73&lt;&gt;"",L73,IF(H73="","未実施",H73))</x:f>
        <x:v>未実施</x:v>
      </x:c>
      <x:c r="P73" s="10" t="str">
        <x:v>追加観点。Web根拠一覧参照。</x:v>
      </x:c>
    </x:row>
    <x:row r="74" ht="50" customHeight="1">
      <x:c r="A74" s="10" t="str">
        <x:v>2001P-46</x:v>
      </x:c>
      <x:c r="B74" s="10" t="str">
        <x:v>追加／境界</x:v>
      </x:c>
      <x:c r="C74" s="10" t="str">
        <x:v>取得データの利用者・対象一致</x:v>
      </x:c>
      <x:c r="D74" s="10" t="str">
        <x:v>利用者Aが発行した対象を保持し、利用者Bまたは別見積から同じ取得URLを要求する。開発者がテスト環境で実施。</x:v>
      </x:c>
      <x:c r="E74" s="10" t="str">
        <x:v>Webの取得応答と画面案内を確認。</x:v>
      </x:c>
      <x:c r="F74" s="10" t="str">
        <x:v>他利用者・別見積の帳票を返さず、許可された利用者と対象の組合せだけで取得できる。</x:v>
      </x:c>
      <x:c r="G74" s="10" t="str">
        <x:v>－</x:v>
      </x:c>
      <x:c r="H74" s="10"/>
      <x:c r="I74" s="10"/>
      <x:c r="J74" s="13"/>
      <x:c r="K74" s="10"/>
      <x:c r="L74" s="10"/>
      <x:c r="M74" s="10"/>
      <x:c r="N74" s="13"/>
      <x:c r="O74" s="10" t="str">
        <x:f>IF(L74&lt;&gt;"",L74,IF(H74="","未実施",H74))</x:f>
        <x:v>未実施</x:v>
      </x:c>
      <x:c r="P74" s="10" t="str">
        <x:v>Mcm2001pControllerの利用者照合・取得権限。</x:v>
      </x:c>
    </x:row>
  </x:sheetData>
  <x:mergeCells>
    <x:mergeCell ref="A1:P1"/>
    <x:mergeCell ref="A3:C3"/>
    <x:mergeCell ref="D3:P3"/>
    <x:mergeCell ref="A4:C4"/>
    <x:mergeCell ref="D4:P4"/>
    <x:mergeCell ref="A6:P6"/>
    <x:mergeCell ref="A7:C7"/>
    <x:mergeCell ref="D7:P7"/>
    <x:mergeCell ref="A8:C8"/>
    <x:mergeCell ref="D8:P8"/>
    <x:mergeCell ref="A9:C9"/>
    <x:mergeCell ref="D9:P9"/>
    <x:mergeCell ref="A10:C10"/>
    <x:mergeCell ref="D10:P10"/>
    <x:mergeCell ref="A14:P14"/>
    <x:mergeCell ref="A16:C16"/>
    <x:mergeCell ref="D16:P16"/>
    <x:mergeCell ref="A17:C17"/>
    <x:mergeCell ref="D17:P17"/>
    <x:mergeCell ref="A18:C18"/>
    <x:mergeCell ref="D18:P18"/>
    <x:mergeCell ref="A20:C20"/>
    <x:mergeCell ref="D20:P20"/>
    <x:mergeCell ref="A26:P26"/>
  </x:mergeCells>
  <x:dataValidations count="2">
    <x:dataValidation type="list" sqref="H29:H74">
      <x:formula1>"未実施,OK,NG,保留,対象外"</x:formula1>
    </x:dataValidation>
    <x:dataValidation type="list" sqref="L29:L74">
      <x:formula1>"未実施,OK,NG,保留,対象外"</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pane ySplit="27" topLeftCell="A28" activePane="bottomLeft" state="frozen"/>
    </x:sheetView>
  </x:sheetViews>
  <x:sheetFormatPr defaultRowHeight="15"/>
  <x:cols>
    <x:col min="1" max="1" width="13" hidden="0" customWidth="1"/>
    <x:col min="2" max="2" width="14" hidden="0" customWidth="1"/>
    <x:col min="3" max="3" width="44" hidden="0" customWidth="1"/>
    <x:col min="4" max="4" width="52" hidden="0" customWidth="1"/>
    <x:col min="5" max="5" width="60" hidden="0" customWidth="1"/>
    <x:col min="6" max="6" width="64" hidden="0" customWidth="1"/>
    <x:col min="7" max="7" width="40" hidden="0" customWidth="1"/>
    <x:col min="8" max="8" width="12" hidden="0" customWidth="1"/>
    <x:col min="9" max="9" width="14" hidden="0" customWidth="1"/>
    <x:col min="10" max="10" width="15" hidden="0" customWidth="1"/>
    <x:col min="11" max="11" width="40" hidden="0" customWidth="1"/>
    <x:col min="12" max="12" width="14" hidden="0" customWidth="1"/>
    <x:col min="13" max="13" width="17" hidden="0" customWidth="1"/>
    <x:col min="14" max="14" width="17" hidden="0" customWidth="1"/>
    <x:col min="15" max="15" width="13" hidden="0" customWidth="1"/>
    <x:col min="16" max="16" width="54" hidden="0" customWidth="1"/>
  </x:cols>
  <x:sheetData>
    <x:row r="1" ht="26" customHeight="1">
      <x:c r="A1" s="4" t="str">
        <x:v>MCM3001P_発注確認書 単体テスト仕様書</x:v>
      </x:c>
      <x:c r="B1" s="4"/>
      <x:c r="C1" s="4"/>
      <x:c r="D1" s="4"/>
      <x:c r="E1" s="4"/>
      <x:c r="F1" s="4"/>
      <x:c r="G1" s="4"/>
      <x:c r="H1" s="4"/>
      <x:c r="I1" s="4"/>
      <x:c r="J1" s="4"/>
      <x:c r="K1" s="4"/>
      <x:c r="L1" s="4"/>
      <x:c r="M1" s="4"/>
      <x:c r="N1" s="4"/>
      <x:c r="O1" s="4"/>
      <x:c r="P1" s="4"/>
    </x:row>
    <x:row r="2">
      <x:c r="A2" s="3"/>
      <x:c r="B2" s="3"/>
      <x:c r="C2" s="3"/>
      <x:c r="D2" s="3"/>
      <x:c r="E2" s="3"/>
      <x:c r="F2" s="3"/>
      <x:c r="G2" s="3"/>
      <x:c r="H2" s="3"/>
      <x:c r="I2" s="3"/>
      <x:c r="J2" s="3"/>
      <x:c r="K2" s="3"/>
      <x:c r="L2" s="3"/>
      <x:c r="M2" s="3"/>
      <x:c r="N2" s="3"/>
      <x:c r="O2" s="3"/>
      <x:c r="P2" s="3"/>
    </x:row>
    <x:row r="3" ht="34" customHeight="1">
      <x:c r="A3" s="3" t="str">
        <x:v>画面情報</x:v>
      </x:c>
      <x:c r="B3" s="3"/>
      <x:c r="C3" s="3"/>
      <x:c r="D3" s="3" t="str">
        <x:v>起点：支払い明細出力指示（MCM3002U）で「出力」しZIPから発注確認書を開く。</x:v>
      </x:c>
      <x:c r="E3" s="3"/>
      <x:c r="F3" s="3"/>
      <x:c r="G3" s="3"/>
      <x:c r="H3" s="3"/>
      <x:c r="I3" s="3"/>
      <x:c r="J3" s="3"/>
      <x:c r="K3" s="3"/>
      <x:c r="L3" s="3"/>
      <x:c r="M3" s="3"/>
      <x:c r="N3" s="3"/>
      <x:c r="O3" s="3"/>
      <x:c r="P3" s="3"/>
    </x:row>
    <x:row r="4" ht="48" customHeight="1">
      <x:c r="A4" s="3" t="str">
        <x:v>出力形式・名称</x:v>
      </x:c>
      <x:c r="B4" s="3"/>
      <x:c r="C4" s="3"/>
      <x:c r="D4" s="3" t="str">
        <x:v>取得形式／名前：{YYYYMM}_{年払または月払}_支払帳票.zip → {YYYYMM}_{年払または月払}_発注確認書.xls。共通W01〜W06も実施する。</x:v>
      </x:c>
      <x:c r="E4" s="3"/>
      <x:c r="F4" s="3"/>
      <x:c r="G4" s="3"/>
      <x:c r="H4" s="3"/>
      <x:c r="I4" s="3"/>
      <x:c r="J4" s="3"/>
      <x:c r="K4" s="3"/>
      <x:c r="L4" s="3"/>
      <x:c r="M4" s="3"/>
      <x:c r="N4" s="3"/>
      <x:c r="O4" s="3"/>
      <x:c r="P4" s="3"/>
    </x:row>
    <x:row r="5">
      <x:c r="A5" s="3"/>
      <x:c r="B5" s="3"/>
      <x:c r="C5" s="3"/>
      <x:c r="D5" s="3"/>
      <x:c r="E5" s="3"/>
      <x:c r="F5" s="3"/>
      <x:c r="G5" s="3"/>
      <x:c r="H5" s="3"/>
      <x:c r="I5" s="3"/>
      <x:c r="J5" s="3"/>
      <x:c r="K5" s="3"/>
      <x:c r="L5" s="3"/>
      <x:c r="M5" s="3"/>
      <x:c r="N5" s="3"/>
      <x:c r="O5" s="3"/>
      <x:c r="P5" s="3"/>
    </x:row>
    <x:row r="6">
      <x:c r="A6" s="6" t="str">
        <x:v>根拠ソース</x:v>
      </x:c>
      <x:c r="B6" s="6" t="str">
        <x:v>根拠ソース</x:v>
      </x:c>
      <x:c r="C6" s="6" t="str">
        <x:v>根拠ソース</x:v>
      </x:c>
      <x:c r="D6" s="6" t="str">
        <x:v>根拠ソース</x:v>
      </x:c>
      <x:c r="E6" s="6" t="str">
        <x:v>根拠ソース</x:v>
      </x:c>
      <x:c r="F6" s="6" t="str">
        <x:v>根拠ソース</x:v>
      </x:c>
      <x:c r="G6" s="6" t="str">
        <x:v>根拠ソース</x:v>
      </x:c>
      <x:c r="H6" s="6" t="str">
        <x:v>根拠ソース</x:v>
      </x:c>
      <x:c r="I6" s="6" t="str">
        <x:v>根拠ソース</x:v>
      </x:c>
      <x:c r="J6" s="6" t="str">
        <x:v>根拠ソース</x:v>
      </x:c>
      <x:c r="K6" s="6" t="str">
        <x:v>根拠ソース</x:v>
      </x:c>
      <x:c r="L6" s="6" t="str">
        <x:v>根拠ソース</x:v>
      </x:c>
      <x:c r="M6" s="6" t="str">
        <x:v>根拠ソース</x:v>
      </x:c>
      <x:c r="N6" s="6" t="str">
        <x:v>根拠ソース</x:v>
      </x:c>
      <x:c r="O6" s="6" t="str">
        <x:v>根拠ソース</x:v>
      </x:c>
      <x:c r="P6" s="6" t="str">
        <x:v>根拠ソース</x:v>
      </x:c>
    </x:row>
    <x:row r="7" ht="26" customHeight="1">
      <x:c r="A7" s="3" t="str">
        <x:v>VB版</x:v>
      </x:c>
      <x:c r="B7" s="3"/>
      <x:c r="C7" s="3"/>
      <x:c r="D7" s="3" t="str">
        <x:v>帳票のExcel.vb・Constant.vb／起動元イベント。既知不具合は再現を合格にしない。</x:v>
      </x:c>
      <x:c r="E7" s="3"/>
      <x:c r="F7" s="3"/>
      <x:c r="G7" s="3"/>
      <x:c r="H7" s="3"/>
      <x:c r="I7" s="3"/>
      <x:c r="J7" s="3"/>
      <x:c r="K7" s="3"/>
      <x:c r="L7" s="3"/>
      <x:c r="M7" s="3"/>
      <x:c r="N7" s="3"/>
      <x:c r="O7" s="3"/>
      <x:c r="P7" s="3"/>
    </x:row>
    <x:row r="8" ht="26" customHeight="1">
      <x:c r="A8" s="3" t="str">
        <x:v>Java版</x:v>
      </x:c>
      <x:c r="B8" s="3"/>
      <x:c r="C8" s="3"/>
      <x:c r="D8" s="3" t="str">
        <x:v>最新Webの帳票Service・起動元Controller。本文の備考／根拠欄とMD末尾を参照。</x:v>
      </x:c>
      <x:c r="E8" s="3"/>
      <x:c r="F8" s="3"/>
      <x:c r="G8" s="3"/>
      <x:c r="H8" s="3"/>
      <x:c r="I8" s="3"/>
      <x:c r="J8" s="3"/>
      <x:c r="K8" s="3"/>
      <x:c r="L8" s="3"/>
      <x:c r="M8" s="3"/>
      <x:c r="N8" s="3"/>
      <x:c r="O8" s="3"/>
      <x:c r="P8" s="3"/>
    </x:row>
    <x:row r="9" ht="26" customHeight="1">
      <x:c r="A9" s="3" t="str">
        <x:v>メッセージ</x:v>
      </x:c>
      <x:c r="B9" s="3"/>
      <x:c r="C9" s="3"/>
      <x:c r="D9" s="3" t="str">
        <x:v>Web画面の通知で判断。VBのネイティブダイアログ・Excel自動起動を要求しない。</x:v>
      </x:c>
      <x:c r="E9" s="3"/>
      <x:c r="F9" s="3"/>
      <x:c r="G9" s="3"/>
      <x:c r="H9" s="3"/>
      <x:c r="I9" s="3"/>
      <x:c r="J9" s="3"/>
      <x:c r="K9" s="3"/>
      <x:c r="L9" s="3"/>
      <x:c r="M9" s="3"/>
      <x:c r="N9" s="3"/>
      <x:c r="O9" s="3"/>
      <x:c r="P9" s="3"/>
    </x:row>
    <x:row r="10" ht="26" customHeight="1">
      <x:c r="A10" s="3" t="str">
        <x:v>参照資料</x:v>
      </x:c>
      <x:c r="B10" s="3"/>
      <x:c r="C10" s="3"/>
      <x:c r="D10" s="3" t="str">
        <x:v>同梱MDの共通確認・F01〜F04・Q01〜Q06。正式な実機確認結果はこれから記入する。</x:v>
      </x:c>
      <x:c r="E10" s="3"/>
      <x:c r="F10" s="3"/>
      <x:c r="G10" s="3"/>
      <x:c r="H10" s="3"/>
      <x:c r="I10" s="3"/>
      <x:c r="J10" s="3"/>
      <x:c r="K10" s="3"/>
      <x:c r="L10" s="3"/>
      <x:c r="M10" s="3"/>
      <x:c r="N10" s="3"/>
      <x:c r="O10" s="3"/>
      <x:c r="P10" s="3"/>
    </x:row>
    <x:row r="11">
      <x:c r="A11" s="3"/>
      <x:c r="B11" s="3"/>
      <x:c r="C11" s="3"/>
      <x:c r="D11" s="3"/>
      <x:c r="E11" s="3"/>
      <x:c r="F11" s="3"/>
      <x:c r="G11" s="3"/>
      <x:c r="H11" s="3"/>
      <x:c r="I11" s="3"/>
      <x:c r="J11" s="3"/>
      <x:c r="K11" s="3"/>
      <x:c r="L11" s="3"/>
      <x:c r="M11" s="3"/>
      <x:c r="N11" s="3"/>
      <x:c r="O11" s="3"/>
      <x:c r="P11" s="3"/>
    </x:row>
    <x:row r="12">
      <x:c r="A12" s="3"/>
      <x:c r="B12" s="3"/>
      <x:c r="C12" s="3"/>
      <x:c r="D12" s="3"/>
      <x:c r="E12" s="3"/>
      <x:c r="F12" s="3"/>
      <x:c r="G12" s="3"/>
      <x:c r="H12" s="3"/>
      <x:c r="I12" s="3"/>
      <x:c r="J12" s="3"/>
      <x:c r="K12" s="3"/>
      <x:c r="L12" s="3"/>
      <x:c r="M12" s="3"/>
      <x:c r="N12" s="3"/>
      <x:c r="O12" s="3"/>
      <x:c r="P12" s="3"/>
    </x:row>
    <x:row r="13">
      <x:c r="A13" s="3"/>
      <x:c r="B13" s="3"/>
      <x:c r="C13" s="3"/>
      <x:c r="D13" s="3"/>
      <x:c r="E13" s="3"/>
      <x:c r="F13" s="3"/>
      <x:c r="G13" s="3"/>
      <x:c r="H13" s="3"/>
      <x:c r="I13" s="3"/>
      <x:c r="J13" s="3"/>
      <x:c r="K13" s="3"/>
      <x:c r="L13" s="3"/>
      <x:c r="M13" s="3"/>
      <x:c r="N13" s="3"/>
      <x:c r="O13" s="3"/>
      <x:c r="P13" s="3"/>
    </x:row>
    <x:row r="14">
      <x:c r="A14" s="6" t="str">
        <x:v>機能一覧</x:v>
      </x:c>
      <x:c r="B14" s="6" t="str">
        <x:v>機能一覧</x:v>
      </x:c>
      <x:c r="C14" s="6" t="str">
        <x:v>機能一覧</x:v>
      </x:c>
      <x:c r="D14" s="6" t="str">
        <x:v>機能一覧</x:v>
      </x:c>
      <x:c r="E14" s="6" t="str">
        <x:v>機能一覧</x:v>
      </x:c>
      <x:c r="F14" s="6" t="str">
        <x:v>機能一覧</x:v>
      </x:c>
      <x:c r="G14" s="6" t="str">
        <x:v>機能一覧</x:v>
      </x:c>
      <x:c r="H14" s="6" t="str">
        <x:v>機能一覧</x:v>
      </x:c>
      <x:c r="I14" s="6" t="str">
        <x:v>機能一覧</x:v>
      </x:c>
      <x:c r="J14" s="6" t="str">
        <x:v>機能一覧</x:v>
      </x:c>
      <x:c r="K14" s="6" t="str">
        <x:v>機能一覧</x:v>
      </x:c>
      <x:c r="L14" s="6" t="str">
        <x:v>機能一覧</x:v>
      </x:c>
      <x:c r="M14" s="6" t="str">
        <x:v>機能一覧</x:v>
      </x:c>
      <x:c r="N14" s="6" t="str">
        <x:v>機能一覧</x:v>
      </x:c>
      <x:c r="O14" s="6" t="str">
        <x:v>機能一覧</x:v>
      </x:c>
      <x:c r="P14" s="6" t="str">
        <x:v>機能一覧</x:v>
      </x:c>
    </x:row>
    <x:row r="15">
      <x:c r="A15" s="3"/>
      <x:c r="B15" s="3"/>
      <x:c r="C15" s="3"/>
      <x:c r="D15" s="3"/>
      <x:c r="E15" s="3"/>
      <x:c r="F15" s="3"/>
      <x:c r="G15" s="3"/>
      <x:c r="H15" s="3"/>
      <x:c r="I15" s="3"/>
      <x:c r="J15" s="3"/>
      <x:c r="K15" s="3"/>
      <x:c r="L15" s="3"/>
      <x:c r="M15" s="3"/>
      <x:c r="N15" s="3"/>
      <x:c r="O15" s="3"/>
      <x:c r="P15" s="3"/>
    </x:row>
    <x:row r="16" ht="26" customHeight="1">
      <x:c r="A16" s="3" t="str">
        <x:v>1</x:v>
      </x:c>
      <x:c r="B16" s="3"/>
      <x:c r="C16" s="3"/>
      <x:c r="D16" s="3" t="str">
        <x:v>帳票の対象・項目・シート構成・表示書式・印刷の確認</x:v>
      </x:c>
      <x:c r="E16" s="3"/>
      <x:c r="F16" s="3"/>
      <x:c r="G16" s="3"/>
      <x:c r="H16" s="3"/>
      <x:c r="I16" s="3"/>
      <x:c r="J16" s="3"/>
      <x:c r="K16" s="3"/>
      <x:c r="L16" s="3"/>
      <x:c r="M16" s="3"/>
      <x:c r="N16" s="3"/>
      <x:c r="O16" s="3"/>
      <x:c r="P16" s="3"/>
    </x:row>
    <x:row r="17" ht="26" customHeight="1">
      <x:c r="A17" s="3" t="str">
        <x:v>2</x:v>
      </x:c>
      <x:c r="B17" s="3"/>
      <x:c r="C17" s="3"/>
      <x:c r="D17" s="3" t="str">
        <x:v>0件・入力不備・権限・失敗・境界・計算条件の確認</x:v>
      </x:c>
      <x:c r="E17" s="3"/>
      <x:c r="F17" s="3"/>
      <x:c r="G17" s="3"/>
      <x:c r="H17" s="3"/>
      <x:c r="I17" s="3"/>
      <x:c r="J17" s="3"/>
      <x:c r="K17" s="3"/>
      <x:c r="L17" s="3"/>
      <x:c r="M17" s="3"/>
      <x:c r="N17" s="3"/>
      <x:c r="O17" s="3"/>
      <x:c r="P17" s="3"/>
    </x:row>
    <x:row r="18" ht="26" customHeight="1">
      <x:c r="A18" s="3" t="str">
        <x:v>3</x:v>
      </x:c>
      <x:c r="B18" s="3"/>
      <x:c r="C18" s="3"/>
      <x:c r="D18" s="3" t="str">
        <x:v>共通確認を関連ケースで実施し、重複する取得操作は再利用</x:v>
      </x:c>
      <x:c r="E18" s="3"/>
      <x:c r="F18" s="3"/>
      <x:c r="G18" s="3"/>
      <x:c r="H18" s="3"/>
      <x:c r="I18" s="3"/>
      <x:c r="J18" s="3"/>
      <x:c r="K18" s="3"/>
      <x:c r="L18" s="3"/>
      <x:c r="M18" s="3"/>
      <x:c r="N18" s="3"/>
      <x:c r="O18" s="3"/>
      <x:c r="P18" s="3"/>
    </x:row>
    <x:row r="19">
      <x:c r="A19" s="3"/>
      <x:c r="B19" s="3"/>
      <x:c r="C19" s="3"/>
      <x:c r="D19" s="3"/>
      <x:c r="E19" s="3"/>
      <x:c r="F19" s="3"/>
      <x:c r="G19" s="3"/>
      <x:c r="H19" s="3"/>
      <x:c r="I19" s="3"/>
      <x:c r="J19" s="3"/>
      <x:c r="K19" s="3"/>
      <x:c r="L19" s="3"/>
      <x:c r="M19" s="3"/>
      <x:c r="N19" s="3"/>
      <x:c r="O19" s="3"/>
      <x:c r="P19" s="3"/>
    </x:row>
    <x:row r="20" ht="30" customHeight="1">
      <x:c r="A20" s="3" t="str">
        <x:v>分類</x:v>
      </x:c>
      <x:c r="B20" s="3"/>
      <x:c r="C20" s="3"/>
      <x:c r="D20" s="3" t="str">
        <x:v>出力起点／対象の絞り込み／シート構成／帳票レイアウト／ヘッダー／一覧／合計行／書式／複数取引先／0件／入力／権限／追加／境界</x:v>
      </x:c>
      <x:c r="E20" s="3"/>
      <x:c r="F20" s="3"/>
      <x:c r="G20" s="3"/>
      <x:c r="H20" s="3"/>
      <x:c r="I20" s="3"/>
      <x:c r="J20" s="3"/>
      <x:c r="K20" s="3"/>
      <x:c r="L20" s="3"/>
      <x:c r="M20" s="3"/>
      <x:c r="N20" s="3"/>
      <x:c r="O20" s="3"/>
      <x:c r="P20" s="3"/>
    </x:row>
    <x:row r="21">
      <x:c r="A21" s="3"/>
      <x:c r="B21" s="3"/>
      <x:c r="C21" s="3"/>
      <x:c r="D21" s="3"/>
      <x:c r="E21" s="3"/>
      <x:c r="F21" s="3"/>
      <x:c r="G21" s="3"/>
      <x:c r="H21" s="3"/>
      <x:c r="I21" s="3"/>
      <x:c r="J21" s="3"/>
      <x:c r="K21" s="3"/>
      <x:c r="L21" s="3"/>
      <x:c r="M21" s="3"/>
      <x:c r="N21" s="3"/>
      <x:c r="O21" s="3"/>
      <x:c r="P21" s="3"/>
    </x:row>
    <x:row r="22">
      <x:c r="A22" s="3"/>
      <x:c r="B22" s="3"/>
      <x:c r="C22" s="3"/>
      <x:c r="D22" s="3"/>
      <x:c r="E22" s="3"/>
      <x:c r="F22" s="3"/>
      <x:c r="G22" s="3"/>
      <x:c r="H22" s="3"/>
      <x:c r="I22" s="3"/>
      <x:c r="J22" s="3"/>
      <x:c r="K22" s="3"/>
      <x:c r="L22" s="3"/>
      <x:c r="M22" s="3"/>
      <x:c r="N22" s="3"/>
      <x:c r="O22" s="3"/>
      <x:c r="P22" s="3"/>
    </x:row>
    <x:row r="23">
      <x:c r="A23" s="3" t="str">
        <x:v>件数</x:v>
      </x:c>
      <x:c r="B23" s="3" t="n">
        <x:f>COUNTA(A29:A57)</x:f>
        <x:v>29</x:v>
      </x:c>
      <x:c r="C23" s="3" t="str">
        <x:v>OK</x:v>
      </x:c>
      <x:c r="D23" s="3" t="n">
        <x:f>COUNTIF(O29:O57,"OK")</x:f>
        <x:v>0</x:v>
      </x:c>
      <x:c r="E23" s="3" t="str">
        <x:v>NG</x:v>
      </x:c>
      <x:c r="F23" s="3" t="n">
        <x:f>COUNTIF(O29:O57,"NG")</x:f>
        <x:v>0</x:v>
      </x:c>
      <x:c r="G23" s="3" t="str">
        <x:v>未実施</x:v>
      </x:c>
      <x:c r="H23" s="3" t="n">
        <x:f>COUNTIF(O29:O57,"未実施")</x:f>
        <x:v>29</x:v>
      </x:c>
      <x:c r="I23" s="3"/>
      <x:c r="J23" s="3"/>
      <x:c r="K23" s="3"/>
      <x:c r="L23" s="3"/>
      <x:c r="M23" s="3"/>
      <x:c r="N23" s="3"/>
      <x:c r="O23" s="3"/>
      <x:c r="P23" s="3"/>
    </x:row>
    <x:row r="24">
      <x:c r="A24" s="3"/>
      <x:c r="B24" s="3"/>
      <x:c r="C24" s="3"/>
      <x:c r="D24" s="3"/>
      <x:c r="E24" s="3"/>
      <x:c r="F24" s="3"/>
      <x:c r="G24" s="3"/>
      <x:c r="H24" s="3"/>
      <x:c r="I24" s="3"/>
      <x:c r="J24" s="3"/>
      <x:c r="K24" s="3"/>
      <x:c r="L24" s="3"/>
      <x:c r="M24" s="3"/>
      <x:c r="N24" s="3"/>
      <x:c r="O24" s="3"/>
      <x:c r="P24" s="3"/>
    </x:row>
    <x:row r="25">
      <x:c r="A25" s="3"/>
      <x:c r="B25" s="3"/>
      <x:c r="C25" s="3"/>
      <x:c r="D25" s="3"/>
      <x:c r="E25" s="3"/>
      <x:c r="F25" s="3"/>
      <x:c r="G25" s="3"/>
      <x:c r="H25" s="3"/>
      <x:c r="I25" s="3"/>
      <x:c r="J25" s="3"/>
      <x:c r="K25" s="3"/>
      <x:c r="L25" s="3"/>
      <x:c r="M25" s="3"/>
      <x:c r="N25" s="3"/>
      <x:c r="O25" s="3"/>
      <x:c r="P25" s="3"/>
    </x:row>
    <x:row r="26">
      <x:c r="A26" s="6" t="str">
        <x:v>単体テストケース</x:v>
      </x:c>
      <x:c r="B26" s="6" t="str">
        <x:v>単体テストケース</x:v>
      </x:c>
      <x:c r="C26" s="6" t="str">
        <x:v>単体テストケース</x:v>
      </x:c>
      <x:c r="D26" s="6" t="str">
        <x:v>単体テストケース</x:v>
      </x:c>
      <x:c r="E26" s="6" t="str">
        <x:v>単体テストケース</x:v>
      </x:c>
      <x:c r="F26" s="6" t="str">
        <x:v>単体テストケース</x:v>
      </x:c>
      <x:c r="G26" s="6" t="str">
        <x:v>単体テストケース</x:v>
      </x:c>
      <x:c r="H26" s="6" t="str">
        <x:v>単体テストケース</x:v>
      </x:c>
      <x:c r="I26" s="6" t="str">
        <x:v>単体テストケース</x:v>
      </x:c>
      <x:c r="J26" s="6" t="str">
        <x:v>単体テストケース</x:v>
      </x:c>
      <x:c r="K26" s="6" t="str">
        <x:v>単体テストケース</x:v>
      </x:c>
      <x:c r="L26" s="6" t="str">
        <x:v>単体テストケース</x:v>
      </x:c>
      <x:c r="M26" s="6" t="str">
        <x:v>単体テストケース</x:v>
      </x:c>
      <x:c r="N26" s="6" t="str">
        <x:v>単体テストケース</x:v>
      </x:c>
      <x:c r="O26" s="6" t="str">
        <x:v>単体テストケース</x:v>
      </x:c>
      <x:c r="P26" s="6" t="str">
        <x:v>単体テストケース</x:v>
      </x:c>
    </x:row>
    <x:row r="27" ht="28" customHeight="1">
      <x:c r="A27" s="9" t="str">
        <x:v>項番</x:v>
      </x:c>
      <x:c r="B27" s="9" t="str">
        <x:v>分類</x:v>
      </x:c>
      <x:c r="C27" s="9" t="str">
        <x:v>テスト項目</x:v>
      </x:c>
      <x:c r="D27" s="9" t="str">
        <x:v>前提条件</x:v>
      </x:c>
      <x:c r="E27" s="9" t="str">
        <x:v>操作内容(入力値)</x:v>
      </x:c>
      <x:c r="F27" s="9" t="str">
        <x:v>期待結果</x:v>
      </x:c>
      <x:c r="G27" s="9" t="str">
        <x:v>期待メッセージ</x:v>
      </x:c>
      <x:c r="H27" s="9" t="str">
        <x:v>テスト結果</x:v>
      </x:c>
      <x:c r="I27" s="9" t="str">
        <x:v>実施者</x:v>
      </x:c>
      <x:c r="J27" s="9" t="str">
        <x:v>実施日</x:v>
      </x:c>
      <x:c r="K27" s="9" t="str">
        <x:v>不具合内容</x:v>
      </x:c>
      <x:c r="L27" s="9" t="str">
        <x:v>再テスト結果</x:v>
      </x:c>
      <x:c r="M27" s="9" t="str">
        <x:v>再テスト実施者</x:v>
      </x:c>
      <x:c r="N27" s="9" t="str">
        <x:v>再テスト実施日</x:v>
      </x:c>
      <x:c r="O27" s="9" t="str">
        <x:v>最終判定</x:v>
      </x:c>
      <x:c r="P27" s="9" t="str">
        <x:v>備考／根拠</x:v>
      </x:c>
    </x:row>
    <x:row r="28">
      <x:c r="A28" s="3"/>
      <x:c r="B28" s="3"/>
      <x:c r="C28" s="3"/>
      <x:c r="D28" s="3"/>
      <x:c r="E28" s="3"/>
      <x:c r="F28" s="3"/>
      <x:c r="G28" s="3"/>
      <x:c r="H28" s="3"/>
      <x:c r="I28" s="3"/>
      <x:c r="J28" s="3"/>
      <x:c r="K28" s="3"/>
      <x:c r="L28" s="3"/>
      <x:c r="M28" s="3"/>
      <x:c r="N28" s="3"/>
      <x:c r="O28" s="3"/>
      <x:c r="P28" s="3"/>
    </x:row>
    <x:row r="29" ht="78" customHeight="1">
      <x:c r="A29" s="10" t="str">
        <x:v>3001P-1</x:v>
      </x:c>
      <x:c r="B29" s="10" t="str">
        <x:v>出力起点</x:v>
      </x:c>
      <x:c r="C29" s="10" t="str">
        <x:v>年払ZIPの取得と発注確認書のファイル形式</x:v>
      </x:c>
      <x:c r="D29" s="10" t="str">
        <x:v>【前提条件】
・共通の前提のとおり。
・対象月に「年払い」の契約が1件以上ある。</x:v>
      </x:c>
      <x:c r="E29" s="10" t="str">
        <x:v>1. 本章の前提を準備する。
2. 支払い明細出力指示（MCM3002U）で「出力」しZIPから発注確認書を開くを実施する。
3. W01に従いダウンロード履歴と取得ファイル名を確認する。
4. 対象ファイルを手動で開く。</x:v>
      </x:c>
      <x:c r="F29" s="10" t="str">
        <x:v>年払の対象がある場合、{YYYYMM}_年払_支払帳票.zipを取得できる。ZIP内の{YYYYMM}_年払_発注確認書.xlsを手動でExcelで開け、形式不一致・破損警告が出ない。支払い明細側のファイル形式は3005P-1で同じZIPを使用して確認する。</x:v>
      </x:c>
      <x:c r="G29" s="10" t="str">
        <x:v>－</x:v>
      </x:c>
      <x:c r="H29" s="10"/>
      <x:c r="I29" s="10"/>
      <x:c r="J29" s="13"/>
      <x:c r="K29" s="10"/>
      <x:c r="L29" s="10"/>
      <x:c r="M29" s="10"/>
      <x:c r="N29" s="13"/>
      <x:c r="O29" s="10" t="str">
        <x:f>IF(L29&lt;&gt;"",L29,IF(H29="","未実施",H29))</x:f>
        <x:v>未実施</x:v>
      </x:c>
      <x:c r="P29" s="10" t="str">
        <x:v>Web根拠：Mcm3002uExcelService.java／Mcm3002uController.java。VB比較対象：Mcm3001pExcel.vb・Constant.vbと起動元画面。対応する機能条件は末尾の根拠一覧参照。</x:v>
      </x:c>
    </x:row>
    <x:row r="30" ht="64" customHeight="1">
      <x:c r="A30" s="10" t="str">
        <x:v>3001P-2</x:v>
      </x:c>
      <x:c r="B30" s="10" t="str">
        <x:v>出力起点</x:v>
      </x:c>
      <x:c r="C30" s="10" t="str">
        <x:v>Web取得操作：ブラウザの保存をキャンセルする</x:v>
      </x:c>
      <x:c r="D30" s="10" t="str">
        <x:v>年払または月払の対象あり。ブラウザを保存先確認設定にし、当該ZIPが保存先にない状態。</x:v>
      </x:c>
      <x:c r="E30" s="10" t="str">
        <x:v>1. 本章の正常条件で出力する。
2. ブラウザ設定を「保存先を毎回確認」にし、保存をキャンセルする。
3. ダウンロード履歴・保存先・発行元の状態を確認する。</x:v>
      </x:c>
      <x:c r="F30" s="10" t="str">
        <x:v>保存を取り消した支払帳票ZIPがPCに残らず、発注確認書・支払い明細をこの取消操作から取得できない。出力だけでDBの契約・支払データを変更しない。</x:v>
      </x:c>
      <x:c r="G30" s="10" t="str">
        <x:v>－</x:v>
      </x:c>
      <x:c r="H30" s="10"/>
      <x:c r="I30" s="10"/>
      <x:c r="J30" s="13"/>
      <x:c r="K30" s="10"/>
      <x:c r="L30" s="10"/>
      <x:c r="M30" s="10"/>
      <x:c r="N30" s="13"/>
      <x:c r="O30" s="10" t="str">
        <x:f>IF(L30&lt;&gt;"",L30,IF(H30="","未実施",H30))</x:f>
        <x:v>未実施</x:v>
      </x:c>
      <x:c r="P30" s="10" t="str">
        <x:v>旧3005P-2を統合。両帳票は同じZIPなので取消試験を帳票別に繰り返さない。W02も同じ試験結果を参照する。</x:v>
      </x:c>
    </x:row>
    <x:row r="31" ht="120" customHeight="1">
      <x:c r="A31" s="10" t="str">
        <x:v>3001P-3</x:v>
      </x:c>
      <x:c r="B31" s="10" t="str">
        <x:v>出力起点</x:v>
      </x:c>
      <x:c r="C31" s="10" t="str">
        <x:v>MCM3002U：月払いを選んだときのダウンロードファイル名</x:v>
      </x:c>
      <x:c r="D31" s="10" t="str">
        <x:v>【前提条件】
・共通の前提のとおり。
・対象月に「月払い」の契約が1件以上ある。</x:v>
      </x:c>
      <x:c r="E31" s="10" t="str">
        <x:v>1. メニュー(MCM0001U)で「支払い明細出力指示」ボタンを押下し、MCM3002Uを表示する。
2. 「支払い月」に対象月（例：2026/10）を入力する。
3. 「月払い」を選択する。
4. 「出力」ボタンを押下する。
5. 共通手順W01に従い対象ファイルを取得し、Excelで開いて本ケースの期待結果を確認する。異常系はファイルが取得されないことを確認する。</x:v>
      </x:c>
      <x:c r="F31" s="10" t="str">
        <x:v>月払のZIP名は「202610_月払_支払帳票.zip」。ZIP内に「202610_月払_発注確認書.xls」と「202610_月払_支払い明細.xls」があり、両方を手動で開ける。</x:v>
      </x:c>
      <x:c r="G31" s="10" t="str">
        <x:v>－</x:v>
      </x:c>
      <x:c r="H31" s="10"/>
      <x:c r="I31" s="10"/>
      <x:c r="J31" s="13"/>
      <x:c r="K31" s="10"/>
      <x:c r="L31" s="10"/>
      <x:c r="M31" s="10"/>
      <x:c r="N31" s="13"/>
      <x:c r="O31" s="10" t="str">
        <x:f>IF(L31&lt;&gt;"",L31,IF(H31="","未実施",H31))</x:f>
        <x:v>未実施</x:v>
      </x:c>
      <x:c r="P31" s="10" t="str">
        <x:v>旧3005P-3を統合。月払ZIP名と両ファイル名をこの1ケースで確認する。</x:v>
      </x:c>
    </x:row>
    <x:row r="32" ht="92" customHeight="1">
      <x:c r="A32" s="10" t="str">
        <x:v>3001P-4</x:v>
      </x:c>
      <x:c r="B32" s="10" t="str">
        <x:v>対象の絞り込み</x:v>
      </x:c>
      <x:c r="C32" s="10" t="str">
        <x:v>発注確認書：「年払い」を選ぶと年払いの契約だけが、「月払い」を選ぶと月払いの契約だけが出力される</x:v>
      </x:c>
      <x:c r="D32" s="10" t="str">
        <x:v>【前提条件】
・共通の前提のとおり。
・対象月に、「年払い」の契約と「月払い」の契約が、それぞれ1件以上ある。
・それぞれの契約の契約番号を控えている。</x:v>
      </x:c>
      <x:c r="E32" s="10" t="str">
        <x:v>1. 年払の対象契約を控える。
2. 支払い月と年払いを指定し出力する。
3. ZIP内の両帳票の契約を照合する。
4. 月払いでも同じ比較を行い、支払区分の異なる取得ファイルを別々に確認する。</x:v>
      </x:c>
      <x:c r="F32" s="10" t="str">
        <x:v>1. 手順6のExcelに、控えた「年払い」の契約番号がある。
2. 手順6のExcelに、控えた「月払い」の契約番号がない。
3. 手順8のExcelに、控えた「月払い」の契約番号がある。
4. 手順8のExcelに、控えた「年払い」の契約番号がない。
5. どちらのExcelにも、支払い方法が「不定」の契約（支払回数が0回の契約）がない。</x:v>
      </x:c>
      <x:c r="G32" s="10" t="str">
        <x:v>－</x:v>
      </x:c>
      <x:c r="H32" s="10"/>
      <x:c r="I32" s="10"/>
      <x:c r="J32" s="13"/>
      <x:c r="K32" s="10"/>
      <x:c r="L32" s="10"/>
      <x:c r="M32" s="10"/>
      <x:c r="N32" s="13"/>
      <x:c r="O32" s="10" t="str">
        <x:f>IF(L32&lt;&gt;"",L32,IF(H32="","未実施",H32))</x:f>
        <x:v>未実施</x:v>
      </x:c>
      <x:c r="P32" s="10" t="str">
        <x:v>Web根拠：Mcm3002uExcelService.java／Mcm3002uController.java。VB比較対象：Mcm3001pExcel.vb・Constant.vbと起動元画面。対応する機能条件は末尾の根拠一覧参照。</x:v>
      </x:c>
    </x:row>
    <x:row r="33" ht="148" customHeight="1">
      <x:c r="A33" s="10" t="str">
        <x:v>3001P-5</x:v>
      </x:c>
      <x:c r="B33" s="10" t="str">
        <x:v>対象の絞り込み</x:v>
      </x:c>
      <x:c r="C33" s="10" t="str">
        <x:v>発注確認書：入力した「支払い月」の契約だけが出力される</x:v>
      </x:c>
      <x:c r="D33" s="10" t="str">
        <x:v>【前提条件】
・共通の前提のとおり。
・対象月（例：2026/10）と、その前後の月（例：2026/09、2026/11）に、それぞれ支払い対象の契約がある（同じ「年払い」または「月払い」）。
・各月の契約の契約番号を控えている。</x:v>
      </x:c>
      <x:c r="E33" s="10" t="str">
        <x:v>1. メニュー(MCM0001U)で「支払い明細出力指示」ボタンを押下し、MCM3002Uを表示する。
2. 「支払い月」に対象月（例：2026/10）を入力し、控えた契約の支払い方法（「年払い」または「月払い」）を選択する。
3. 「出力」ボタンを押下する。
4. 発注確認書のExcelの「契約番号」の列を、全シート確認する。
5. 共通手順W01に従い対象ファイルを取得し、Excelで開いて本ケースの期待結果を確認する。異常系はファイルが取得されないことを確認する。</x:v>
      </x:c>
      <x:c r="F33" s="10" t="str">
        <x:v>1. 対象月の契約の契約番号がある。
2. 前の月、後の月の契約の契約番号がない。</x:v>
      </x:c>
      <x:c r="G33" s="10" t="str">
        <x:v>－</x:v>
      </x:c>
      <x:c r="H33" s="10"/>
      <x:c r="I33" s="10"/>
      <x:c r="J33" s="13"/>
      <x:c r="K33" s="10"/>
      <x:c r="L33" s="10"/>
      <x:c r="M33" s="10"/>
      <x:c r="N33" s="13"/>
      <x:c r="O33" s="10" t="str">
        <x:f>IF(L33&lt;&gt;"",L33,IF(H33="","未実施",H33))</x:f>
        <x:v>未実施</x:v>
      </x:c>
      <x:c r="P33" s="10" t="str">
        <x:v>Web根拠：Mcm3002uExcelService.java／Mcm3002uController.java。VB比較対象：Mcm3001pExcel.vb・Constant.vbと起動元画面。対応する機能条件は末尾の根拠一覧参照。</x:v>
      </x:c>
    </x:row>
    <x:row r="34" ht="148" customHeight="1">
      <x:c r="A34" s="10" t="str">
        <x:v>3001P-6</x:v>
      </x:c>
      <x:c r="B34" s="10" t="str">
        <x:v>シート構成</x:v>
      </x:c>
      <x:c r="C34" s="10" t="str">
        <x:v>発注確認書：取引先ごとにシートが作られ、シート名は取引先コードになる</x:v>
      </x:c>
      <x:c r="D34" s="10" t="str">
        <x:v>【前提条件】
・共通の前提のとおり。
・対象月に、取引先が異なる契約が2社以上ある。
・各取引先の取引先コードと、取引先コードの小さい順（取引先IDの昇順）を控えている【要確認：取引先IDと取引先コードの大小の確認方法】。</x:v>
      </x:c>
      <x:c r="E34" s="10" t="str">
        <x:v>1. メニュー(MCM0001U)で「支払い明細出力指示」ボタンを押下し、MCM3002Uを表示する。
2. 「支払い月」に対象月を入力し、「年払い」または「月払い」を選択する。
3. 「出力」ボタンを押下する。
4. 発注確認書のExcelで、シートの数とシート名、並びを確認する。
5. 共通手順W01に従い対象ファイルを取得し、Excelで開いて本ケースの期待結果を確認する。異常系はファイルが取得されないことを確認する。</x:v>
      </x:c>
      <x:c r="F34" s="10" t="str">
        <x:v>1. シートの数が、対象月に契約がある取引先の数と同じである。
2. 各シートの名前（シート見出し）が、その取引先の取引先コードである。
3. 取引先と関係のないシート（「Sheet1」や、テンプレートの元の名前のシートなど）が残っていない。
4. 同じ取引先のシートが2枚できていない。
5. シートが、取引先IDの昇順に並んでいる。</x:v>
      </x:c>
      <x:c r="G34" s="10" t="str">
        <x:v>－</x:v>
      </x:c>
      <x:c r="H34" s="10"/>
      <x:c r="I34" s="10"/>
      <x:c r="J34" s="13"/>
      <x:c r="K34" s="10"/>
      <x:c r="L34" s="10"/>
      <x:c r="M34" s="10"/>
      <x:c r="N34" s="13"/>
      <x:c r="O34" s="10" t="str">
        <x:f>IF(L34&lt;&gt;"",L34,IF(H34="","未実施",H34))</x:f>
        <x:v>未実施</x:v>
      </x:c>
      <x:c r="P34" s="10" t="str">
        <x:v>Web根拠：Mcm3002uExcelService.java／Mcm3002uController.java。VB比較対象：Mcm3001pExcel.vb・Constant.vbと起動元画面。対応する機能条件は末尾の根拠一覧参照。</x:v>
      </x:c>
    </x:row>
    <x:row r="35" ht="134" customHeight="1">
      <x:c r="A35" s="10" t="str">
        <x:v>3001P-7</x:v>
      </x:c>
      <x:c r="B35" s="10" t="str">
        <x:v>帳票レイアウト</x:v>
      </x:c>
      <x:c r="C35" s="10" t="str">
        <x:v>発注確認書：テンプレートの固定文言（タイトル、見出し行）が出力される</x:v>
      </x:c>
      <x:c r="D35" s="10" t="str">
        <x:v>【前提条件】
・共通の前提のとおり。</x:v>
      </x:c>
      <x:c r="E35" s="10" t="str">
        <x:v>1. メニュー(MCM0001U)で「支払い明細出力指示」ボタンを押下し、MCM3002Uを表示する。
2. 「支払い月」に対象月を入力し、「年払い」または「月払い」を選択する。
3. 「出力」ボタンを押下する。
4. 発注確認書のExcelの1〜15行目を確認する。
5. 共通手順W01に従い対象ファイルを取得し、Excelで開いて本ケースの期待結果を確認する。異常系はファイルが取得されないことを確認する。</x:v>
      </x:c>
      <x:c r="F35" s="10" t="str">
        <x:v>発注確認書の固定文言・ロゴ・送付元・宛先・一覧見出しは原紙を維持。15行目にNO・契約書番号・注文月・種類・お客様名・契約金額・製番があり、データは16行目から始まる。</x:v>
      </x:c>
      <x:c r="G35" s="10" t="str">
        <x:v>－</x:v>
      </x:c>
      <x:c r="H35" s="10"/>
      <x:c r="I35" s="10"/>
      <x:c r="J35" s="13"/>
      <x:c r="K35" s="10"/>
      <x:c r="L35" s="10"/>
      <x:c r="M35" s="10"/>
      <x:c r="N35" s="13"/>
      <x:c r="O35" s="10" t="str">
        <x:f>IF(L35&lt;&gt;"",L35,IF(H35="","未実施",H35))</x:f>
        <x:v>未実施</x:v>
      </x:c>
      <x:c r="P35" s="10" t="str">
        <x:v>Web根拠：Mcm3002uExcelService.java／Mcm3002uController.java。VB比較対象：Mcm3001pExcel.vb・Constant.vbと起動元画面。対応する機能条件は末尾の根拠一覧参照。原案に推定・実機記録項目あり。判断基準は下記訂正またはQ一覧で管理。</x:v>
      </x:c>
    </x:row>
    <x:row r="36" ht="148" customHeight="1">
      <x:c r="A36" s="10" t="str">
        <x:v>3001P-8</x:v>
      </x:c>
      <x:c r="B36" s="10" t="str">
        <x:v>ヘッダー</x:v>
      </x:c>
      <x:c r="C36" s="10" t="str">
        <x:v>発注確認書：宛先に「取引先名」「窓口担当者名」「様」が出力される</x:v>
      </x:c>
      <x:c r="D36" s="10" t="str">
        <x:v>【前提条件】
・共通の前提のとおり。
・対象月の取引先に、有効な窓口情報（窓口担当者名が入っているもの）が1件登録されている。
・取引先名と窓口担当者名を控えている。</x:v>
      </x:c>
      <x:c r="E36" s="10" t="str">
        <x:v>1. メニュー(MCM0001U)で「支払い明細出力指示」ボタンを押下し、MCM3002Uを表示する。
2. 「支払い月」に対象月を入力し、「年払い」または「月払い」を選択する。
3. 「出力」ボタンを押下する。
4. 発注確認書のExcelで、その取引先のシートの「宛先」欄（B2）を確認する。
5. 共通手順W01に従い対象ファイルを取得し、Excelで開いて本ケースの期待結果を確認する。異常系はファイルが取得されないことを確認する。</x:v>
      </x:c>
      <x:c r="F36" s="10" t="str">
        <x:v>1. 「宛先」欄に、取引先名、半角空白1つ、窓口担当者名、半角空白1つ、「様」の順で表示される（例：「○○株式会社 山田太郎 様」）。</x:v>
      </x:c>
      <x:c r="G36" s="10" t="str">
        <x:v>－</x:v>
      </x:c>
      <x:c r="H36" s="10"/>
      <x:c r="I36" s="10"/>
      <x:c r="J36" s="13"/>
      <x:c r="K36" s="10"/>
      <x:c r="L36" s="10"/>
      <x:c r="M36" s="10"/>
      <x:c r="N36" s="13"/>
      <x:c r="O36" s="10" t="str">
        <x:f>IF(L36&lt;&gt;"",L36,IF(H36="","未実施",H36))</x:f>
        <x:v>未実施</x:v>
      </x:c>
      <x:c r="P36" s="10" t="str">
        <x:v>Web根拠：Mcm3002uExcelService.java／Mcm3002uController.java。VB比較対象：Mcm3001pExcel.vb・Constant.vbと起動元画面。対応する機能条件は末尾の根拠一覧参照。</x:v>
      </x:c>
    </x:row>
    <x:row r="37" ht="148" customHeight="1">
      <x:c r="A37" s="10" t="str">
        <x:v>3001P-9</x:v>
      </x:c>
      <x:c r="B37" s="10" t="str">
        <x:v>ヘッダー</x:v>
      </x:c>
      <x:c r="C37" s="10" t="str">
        <x:v>発注確認書：窓口担当者が登録されていない取引先の宛先</x:v>
      </x:c>
      <x:c r="D37" s="10" t="str">
        <x:v>【前提条件】
・共通の前提のとおり。
・対象月の取引先のうち、有効な窓口情報が登録されていない取引先が1社ある。【要確認：そのデータが存在するか】</x:v>
      </x:c>
      <x:c r="E37" s="10" t="str">
        <x:v>1. メニュー(MCM0001U)で「支払い明細出力指示」ボタンを押下し、MCM3002Uを表示する。
2. 「支払い月」に対象月を入力し、「年払い」または「月払い」を選択する。
3. 「出力」ボタンを押下する。
4. 発注確認書のExcelで、その取引先のシートの「宛先」欄（B2）を確認する。
5. 共通手順W01に従い対象ファイルを取得し、Excelで開いて本ケースの期待結果を確認する。異常系はファイルが取得されないことを確認する。</x:v>
      </x:c>
      <x:c r="F37" s="10" t="str">
        <x:v>主担当者が未設定の場合、担当者部分を空欄として宛先を構成する。null・None等を印字しない。取引先名と「様」は表示する。</x:v>
      </x:c>
      <x:c r="G37" s="10" t="str">
        <x:v>－</x:v>
      </x:c>
      <x:c r="H37" s="10"/>
      <x:c r="I37" s="10"/>
      <x:c r="J37" s="13"/>
      <x:c r="K37" s="10"/>
      <x:c r="L37" s="10"/>
      <x:c r="M37" s="10"/>
      <x:c r="N37" s="13"/>
      <x:c r="O37" s="10" t="str">
        <x:f>IF(L37&lt;&gt;"",L37,IF(H37="","未実施",H37))</x:f>
        <x:v>未実施</x:v>
      </x:c>
      <x:c r="P37" s="10" t="str">
        <x:v>Web根拠：Mcm3002uExcelService.java／Mcm3002uController.java。VB比較対象：Mcm3001pExcel.vb・Constant.vbと起動元画面。対応する機能条件は末尾の根拠一覧参照。原案に推定・実機記録項目あり。判断基準は下記訂正またはQ一覧で管理。</x:v>
      </x:c>
    </x:row>
    <x:row r="38" ht="148" customHeight="1">
      <x:c r="A38" s="10" t="str">
        <x:v>3001P-10</x:v>
      </x:c>
      <x:c r="B38" s="10" t="str">
        <x:v>ヘッダー</x:v>
      </x:c>
      <x:c r="C38" s="10" t="str">
        <x:v>発注確認書：支払月度と支払区分が出力される</x:v>
      </x:c>
      <x:c r="D38" s="10" t="str">
        <x:v>【前提条件】
・共通の前提のとおり。</x:v>
      </x:c>
      <x:c r="E38" s="10" t="str">
        <x:v>1. メニュー(MCM0001U)で「支払い明細出力指示」ボタンを押下し、MCM3002Uを表示する。
2. 「支払い月」に「2026/10」を入力し、「年払い」を選択する。
3. 「出力」ボタンを押下する。
4. 発注確認書のExcelの全シートで、「支払月度」欄（D5付近）と「支払区分」欄（H5付近）を確認する。
5. 共通手順W01に従い対象ファイルを取得し、Excelで開いて本ケースの期待結果を確認する。異常系はファイルが取得されないことを確認する。</x:v>
      </x:c>
      <x:c r="F38" s="10" t="str">
        <x:v>2026/10では支払月度欄に「2026年10」、支払区分欄に選択した「( 年払 )」または「( 月払 )」が入り、原紙の固定文言と重なり・欠落がない。</x:v>
      </x:c>
      <x:c r="G38" s="10" t="str">
        <x:v>－</x:v>
      </x:c>
      <x:c r="H38" s="10"/>
      <x:c r="I38" s="10"/>
      <x:c r="J38" s="13"/>
      <x:c r="K38" s="10"/>
      <x:c r="L38" s="10"/>
      <x:c r="M38" s="10"/>
      <x:c r="N38" s="13"/>
      <x:c r="O38" s="10" t="str">
        <x:f>IF(L38&lt;&gt;"",L38,IF(H38="","未実施",H38))</x:f>
        <x:v>未実施</x:v>
      </x:c>
      <x:c r="P38" s="10" t="str">
        <x:v>Web根拠：Mcm3002uExcelService.java／Mcm3002uController.java。VB比較対象：Mcm3001pExcel.vb・Constant.vbと起動元画面。対応する機能条件は末尾の根拠一覧参照。原案に推定・実機記録項目あり。判断基準は下記訂正またはQ一覧で管理。</x:v>
      </x:c>
    </x:row>
    <x:row r="39" ht="148" customHeight="1">
      <x:c r="A39" s="10" t="str">
        <x:v>3001P-11</x:v>
      </x:c>
      <x:c r="B39" s="10" t="str">
        <x:v>一覧</x:v>
      </x:c>
      <x:c r="C39" s="10" t="str">
        <x:v>発注確認書：契約番号、納入先名、手配製番が、契約のデータのとおり出力される</x:v>
      </x:c>
      <x:c r="D39" s="10" t="str">
        <x:v>【前提条件】
・共通の前提のとおり。
・対象月に契約が3件以上ある取引先がある。
・その取引先の各契約の「契約番号」「納入先名」「手配製番（ハードウェア製番）」を、MCM1003U(取引先見積・契約一覧)など画面で確認して控えている【要確認：手配製番を画面で確認できる画面】。</x:v>
      </x:c>
      <x:c r="E39" s="10" t="str">
        <x:v>1. メニュー(MCM0001U)で「支払い明細出力指示」ボタンを押下し、MCM3002Uを表示する。
2. 「支払い月」に対象月を入力し、「年払い」または「月払い」を選択する。
3. 「出力」ボタンを押下する。
4. 発注確認書のExcelで、その取引先のシートの16行目から下を確認し、控えた契約ごとの行を見つける。
5. 共通手順W01に従い対象ファイルを取得し、Excelで開いて本ケースの期待結果を確認する。異常系はファイルが取得されないことを確認する。</x:v>
      </x:c>
      <x:c r="F39" s="10" t="str">
        <x:v>1. 「契約番号」の列（C列）が、控えた契約番号と同じ値である。
2. 「お客様名」の列（G列、G〜H列にまたがる欄）が、控えた納入先名と同じ値である。
3. 「製番」の列（J列）が、控えた手配製番と同じ値である（解約済みの月は3001P-16の「\* 」付きの値）。</x:v>
      </x:c>
      <x:c r="G39" s="10" t="str">
        <x:v>－</x:v>
      </x:c>
      <x:c r="H39" s="10"/>
      <x:c r="I39" s="10"/>
      <x:c r="J39" s="13"/>
      <x:c r="K39" s="10"/>
      <x:c r="L39" s="10"/>
      <x:c r="M39" s="10"/>
      <x:c r="N39" s="13"/>
      <x:c r="O39" s="10" t="str">
        <x:f>IF(L39&lt;&gt;"",L39,IF(H39="","未実施",H39))</x:f>
        <x:v>未実施</x:v>
      </x:c>
      <x:c r="P39" s="10" t="str">
        <x:v>Web根拠：Mcm3002uExcelService.java／Mcm3002uController.java。VB比較対象：Mcm3001pExcel.vb・Constant.vbと起動元画面。対応する機能条件は末尾の根拠一覧参照。</x:v>
      </x:c>
    </x:row>
    <x:row r="40" ht="148" customHeight="1">
      <x:c r="A40" s="10" t="str">
        <x:v>3001P-12</x:v>
      </x:c>
      <x:c r="B40" s="10" t="str">
        <x:v>一覧</x:v>
      </x:c>
      <x:c r="C40" s="10" t="str">
        <x:v>発注確認書：注文年と注文月が出力される（月の先頭の0は付かない）</x:v>
      </x:c>
      <x:c r="D40" s="10" t="str">
        <x:v>【前提条件】
・共通の前提のとおり。
・1〜9月の対象月（例：2026/03）に契約がある。</x:v>
      </x:c>
      <x:c r="E40" s="10" t="str">
        <x:v>1. メニュー(MCM0001U)で「支払い明細出力指示」ボタンを押下し、MCM3002Uを表示する。
2. 「支払い月」に「2026/03」を入力し、「年払い」または「月払い」を選択する。
3. 「出力」ボタンを押下する。
4. 発注確認書のExcelの一覧で、全行の「発注月（年）」の列（D列）と「発注月（月）」の列（E列）を確認する。
5. 共通手順W01に従い対象ファイルを取得し、Excelで開いて本ケースの期待結果を確認する。異常系はファイルが取得されないことを確認する。</x:v>
      </x:c>
      <x:c r="F40" s="10" t="str">
        <x:v>1. 全行の D列が「2026」である。
2. 全行の E列が「3」である（「03」ではない）。
3. 年と月が入れ替わっていない（D列に月、E列に年が入っていない）。</x:v>
      </x:c>
      <x:c r="G40" s="10" t="str">
        <x:v>－</x:v>
      </x:c>
      <x:c r="H40" s="10"/>
      <x:c r="I40" s="10"/>
      <x:c r="J40" s="13"/>
      <x:c r="K40" s="10"/>
      <x:c r="L40" s="10"/>
      <x:c r="M40" s="10"/>
      <x:c r="N40" s="13"/>
      <x:c r="O40" s="10" t="str">
        <x:f>IF(L40&lt;&gt;"",L40,IF(H40="","未実施",H40))</x:f>
        <x:v>未実施</x:v>
      </x:c>
      <x:c r="P40" s="10" t="str">
        <x:v>Web根拠：Mcm3002uExcelService.java／Mcm3002uController.java。VB比較対象：Mcm3001pExcel.vb・Constant.vbと起動元画面。対応する機能条件は末尾の根拠一覧参照。</x:v>
      </x:c>
    </x:row>
    <x:row r="41" ht="148" customHeight="1">
      <x:c r="A41" s="10" t="str">
        <x:v>3001P-13</x:v>
      </x:c>
      <x:c r="B41" s="10" t="str">
        <x:v>一覧</x:v>
      </x:c>
      <x:c r="C41" s="10" t="str">
        <x:v>発注確認書：種類に「契約」または「解約」が出力される</x:v>
      </x:c>
      <x:c r="D41" s="10" t="str">
        <x:v>【前提条件】
・共通の前提のとおり。
・対象月に、状態が「契約」の契約と、状態が「解約」の契約が、それぞれ1件以上ある。
・各契約の契約番号と状態を、MCM1003U(取引先見積・契約一覧)などで控えている。</x:v>
      </x:c>
      <x:c r="E41" s="10" t="str">
        <x:v>1. メニュー(MCM0001U)で「支払い明細出力指示」ボタンを押下し、MCM3002Uを表示する。
2. 「支払い月」に対象月を入力し、「年払い」または「月払い」を選択する。
3. 「出力」ボタンを押下する。
4. 発注確認書のExcelの一覧で、控えた契約番号の行の「種類」の列（F列）を確認する。
5. 共通手順W01に従い対象ファイルを取得し、Excelで開いて本ケースの期待結果を確認する。異常系はファイルが取得されないことを確認する。</x:v>
      </x:c>
      <x:c r="F41" s="10" t="str">
        <x:v>1. 状態が「契約」の契約の行の「種類」が「契約」である。
2. 状態が「解約」の契約の行の「種類」が「解約」である。</x:v>
      </x:c>
      <x:c r="G41" s="10" t="str">
        <x:v>－</x:v>
      </x:c>
      <x:c r="H41" s="10"/>
      <x:c r="I41" s="10"/>
      <x:c r="J41" s="13"/>
      <x:c r="K41" s="10"/>
      <x:c r="L41" s="10"/>
      <x:c r="M41" s="10"/>
      <x:c r="N41" s="13"/>
      <x:c r="O41" s="10" t="str">
        <x:f>IF(L41&lt;&gt;"",L41,IF(H41="","未実施",H41))</x:f>
        <x:v>未実施</x:v>
      </x:c>
      <x:c r="P41" s="10" t="str">
        <x:v>Web根拠：Mcm3002uExcelService.java／Mcm3002uController.java。VB比較対象：Mcm3001pExcel.vb・Constant.vbと起動元画面。対応する機能条件は末尾の根拠一覧参照。</x:v>
      </x:c>
    </x:row>
    <x:row r="42" ht="134" customHeight="1">
      <x:c r="A42" s="10" t="str">
        <x:v>3001P-14</x:v>
      </x:c>
      <x:c r="B42" s="10" t="str">
        <x:v>一覧</x:v>
      </x:c>
      <x:c r="C42" s="10" t="str">
        <x:v>発注確認書：月払いの契約金額（当月分の金額）が出力される</x:v>
      </x:c>
      <x:c r="D42" s="10" t="str">
        <x:v>【前提条件】
・共通の前提のとおり。
・対象月に「月払い」の契約が1件以上ある。
・その契約の契約期間、見積の仕切合計の金額、当月の月額を、開発者が算出して控えている【要確認：金額の確認方法】。</x:v>
      </x:c>
      <x:c r="E42" s="10" t="str">
        <x:v>1. メニュー(MCM0001U)で「支払い明細出力指示」ボタンを押下し、MCM3002Uを表示する。
2. 「支払い月」に対象月を入力し、「月払い」を選択する。
3. 「出力」ボタンを押下する。
4. 発注確認書のExcelの一覧で、控えた契約の行の「契約金額」の列（I列）を確認する。
5. 共通手順W01に従い対象ファイルを取得し、Excelで開いて本ケースの期待結果を確認する。異常系はファイルが取得されないことを確認する。</x:v>
      </x:c>
      <x:c r="F42" s="10" t="str">
        <x:v>月払の契約金額は、当該支払月から次の支払月の前月までに対応する月額の合計になる。毎月支払の場合は1か月分。金額は元のDecimalを維持し、勝手に銀行丸めしない。表示書式は原紙の通貨・桁区切りに従う。</x:v>
      </x:c>
      <x:c r="G42" s="10" t="str">
        <x:v>－</x:v>
      </x:c>
      <x:c r="H42" s="10"/>
      <x:c r="I42" s="10"/>
      <x:c r="J42" s="13"/>
      <x:c r="K42" s="10"/>
      <x:c r="L42" s="10"/>
      <x:c r="M42" s="10"/>
      <x:c r="N42" s="13"/>
      <x:c r="O42" s="10" t="str">
        <x:f>IF(L42&lt;&gt;"",L42,IF(H42="","未実施",H42))</x:f>
        <x:v>未実施</x:v>
      </x:c>
      <x:c r="P42" s="10" t="str">
        <x:v>Web根拠：Mcm3002uExcelService.java／Mcm3002uController.java。VB比較対象：Mcm3001pExcel.vb・Constant.vbと起動元画面。対応する機能条件は末尾の根拠一覧参照。</x:v>
      </x:c>
    </x:row>
    <x:row r="43" ht="134" customHeight="1">
      <x:c r="A43" s="10" t="str">
        <x:v>3001P-15</x:v>
      </x:c>
      <x:c r="B43" s="10" t="str">
        <x:v>一覧</x:v>
      </x:c>
      <x:c r="C43" s="10" t="str">
        <x:v>発注確認書：年払いの契約金額（支払い月から次の支払い月の前月までの月額の合計）が出力される</x:v>
      </x:c>
      <x:c r="D43" s="10" t="str">
        <x:v>【前提条件】
・共通の前提のとおり。
・対象月に「年払い」の契約が1件以上ある（契約期間が12か月の契約）。
・その契約の契約期間、仕切合計の金額、支払い月を、開発者が確認して控えている。</x:v>
      </x:c>
      <x:c r="E43" s="10" t="str">
        <x:v>1. メニュー(MCM0001U)で「支払い明細出力指示」ボタンを押下し、MCM3002Uを表示する。
2. 「支払い月」に対象月を入力し、「年払い」を選択する。
3. 「出力」ボタンを押下する。
4. 発注確認書のExcelの一覧で、控えた契約の行の「契約金額」の列（I列）を確認する。
5. 共通手順W01に従い対象ファイルを取得し、Excelで開いて本ケースの期待結果を確認する。異常系はファイルが取得されないことを確認する。</x:v>
      </x:c>
      <x:c r="F43" s="10" t="str">
        <x:v>年払では、契約期間・料金適用期間・次回支払月で区切った対象月額を合計する。契約開始・終了・料金変更をまたぐ場合も期間外の額を含めない。通常12か月分になる場合と途中開始・途中終了の場合を分ける。</x:v>
      </x:c>
      <x:c r="G43" s="10" t="str">
        <x:v>－</x:v>
      </x:c>
      <x:c r="H43" s="10"/>
      <x:c r="I43" s="10"/>
      <x:c r="J43" s="13"/>
      <x:c r="K43" s="10"/>
      <x:c r="L43" s="10"/>
      <x:c r="M43" s="10"/>
      <x:c r="N43" s="13"/>
      <x:c r="O43" s="10" t="str">
        <x:f>IF(L43&lt;&gt;"",L43,IF(H43="","未実施",H43))</x:f>
        <x:v>未実施</x:v>
      </x:c>
      <x:c r="P43" s="10" t="str">
        <x:v>Web根拠：Mcm3002uExcelService.java／Mcm3002uController.java。VB比較対象：Mcm3001pExcel.vb・Constant.vbと起動元画面。対応する機能条件は末尾の根拠一覧参照。原案に推定・実機記録項目あり。判断基準は下記訂正またはQ一覧で管理。</x:v>
      </x:c>
    </x:row>
    <x:row r="44" ht="148" customHeight="1">
      <x:c r="A44" s="10" t="str">
        <x:v>3001P-16</x:v>
      </x:c>
      <x:c r="B44" s="10" t="str">
        <x:v>一覧</x:v>
      </x:c>
      <x:c r="C44" s="10" t="str">
        <x:v>発注確認書：解約日以降の月の手配製番は先頭に「\* 」が付く</x:v>
      </x:c>
      <x:c r="D44" s="10" t="str">
        <x:v>【前提条件】
・共通の前提のとおり。
・対象月より前に解約された（解約日が対象月の月初以前の）契約で、対象月も支払い対象になっている契約が1件ある。【要確認：そのデータが存在するか】
・その契約の手配製番を控えている。</x:v>
      </x:c>
      <x:c r="E44" s="10" t="str">
        <x:v>1. メニュー(MCM0001U)で「支払い明細出力指示」ボタンを押下し、MCM3002Uを表示する。
2. 「支払い月」に対象月を入力し、「年払い」または「月払い」を選択する。
3. 「出力」ボタンを押下する。
4. 発注確認書のExcelの一覧で、その契約の行の「製番」の列（J列）を確認する。
5. 共通手順W01に従い対象ファイルを取得し、Excelで開いて本ケースの期待結果を確認する。異常系はファイルが取得されないことを確認する。</x:v>
      </x:c>
      <x:c r="F44" s="10" t="str">
        <x:v>1. 「製番」が、「\*」、半角空白、手配製番の順で表示される（例：「\* AB123」）。
2. 解約されていない契約の行には「\* 」が付いていない。</x:v>
      </x:c>
      <x:c r="G44" s="10" t="str">
        <x:v>－</x:v>
      </x:c>
      <x:c r="H44" s="10"/>
      <x:c r="I44" s="10"/>
      <x:c r="J44" s="13"/>
      <x:c r="K44" s="10"/>
      <x:c r="L44" s="10"/>
      <x:c r="M44" s="10"/>
      <x:c r="N44" s="13"/>
      <x:c r="O44" s="10" t="str">
        <x:f>IF(L44&lt;&gt;"",L44,IF(H44="","未実施",H44))</x:f>
        <x:v>未実施</x:v>
      </x:c>
      <x:c r="P44" s="10" t="str">
        <x:v>Web根拠：Mcm3002uExcelService.java／Mcm3002uController.java。VB比較対象：Mcm3001pExcel.vb・Constant.vbと起動元画面。対応する機能条件は末尾の根拠一覧参照。</x:v>
      </x:c>
    </x:row>
    <x:row r="45" ht="148" customHeight="1">
      <x:c r="A45" s="10" t="str">
        <x:v>3001P-17</x:v>
      </x:c>
      <x:c r="B45" s="10" t="str">
        <x:v>一覧</x:v>
      </x:c>
      <x:c r="C45" s="10" t="str">
        <x:v>発注確認書：契約の並び順と「No」の連番</x:v>
      </x:c>
      <x:c r="D45" s="10" t="str">
        <x:v>【前提条件】
・共通の前提のとおり。
・対象月に、同じ取引先の契約が10件以上ある（契約番号が昇順に並ばない登録順になっているとよい）。</x:v>
      </x:c>
      <x:c r="E45" s="10" t="str">
        <x:v>1. メニュー(MCM0001U)で「支払い明細出力指示」ボタンを押下し、MCM3002Uを表示する。
2. 「支払い月」に対象月を入力し、「年払い」または「月払い」を選択する。
3. 「出力」ボタンを押下する。
4. 発注確認書のExcelで、その取引先のシートの「No」の列（B列）と「契約番号」の列（C列）を16行目から確認する。
5. 共通手順W01に従い対象ファイルを取得し、Excelで開いて本ケースの期待結果を確認する。異常系はファイルが取得されないことを確認する。</x:v>
      </x:c>
      <x:c r="F45" s="10" t="str">
        <x:v>1. 「No」が16行目から 1、2、3…と1ずつ増える連番で、抜けと重複がない。
2. 最後の「No」が、その取引先の契約の件数と同じである。
3. 「契約番号」が、昇順に並んでいる（同じ契約番号の行は、納入先、サポートIDの昇順）。</x:v>
      </x:c>
      <x:c r="G45" s="10" t="str">
        <x:v>－</x:v>
      </x:c>
      <x:c r="H45" s="10"/>
      <x:c r="I45" s="10"/>
      <x:c r="J45" s="13"/>
      <x:c r="K45" s="10"/>
      <x:c r="L45" s="10"/>
      <x:c r="M45" s="10"/>
      <x:c r="N45" s="13"/>
      <x:c r="O45" s="10" t="str">
        <x:f>IF(L45&lt;&gt;"",L45,IF(H45="","未実施",H45))</x:f>
        <x:v>未実施</x:v>
      </x:c>
      <x:c r="P45" s="10" t="str">
        <x:v>Web根拠：Mcm3002uExcelService.java／Mcm3002uController.java。VB比較対象：Mcm3001pExcel.vb・Constant.vbと起動元画面。対応する機能条件は末尾の根拠一覧参照。</x:v>
      </x:c>
    </x:row>
    <x:row r="46" ht="148" customHeight="1">
      <x:c r="A46" s="10" t="str">
        <x:v>3001P-18</x:v>
      </x:c>
      <x:c r="B46" s="10" t="str">
        <x:v>一覧</x:v>
      </x:c>
      <x:c r="C46" s="10" t="str">
        <x:v>発注確認書：契約金額が0の契約、手配製番が空の契約も出力される</x:v>
      </x:c>
      <x:c r="D46" s="10" t="str">
        <x:v>【前提条件】
・共通の前提のとおり。
・対象月の支払い対象の契約のうち、契約金額が0になる契約、または手配製番が空の契約がある。【要確認：そのデータが存在するか】
・その契約の契約番号を控えている。</x:v>
      </x:c>
      <x:c r="E46" s="10" t="str">
        <x:v>1. メニュー(MCM0001U)で「支払い明細出力指示」ボタンを押下し、MCM3002Uを表示する。
2. 「支払い月」に対象月を入力し、「年払い」または「月払い」を選択する。
3. 「出力」ボタンを押下する。
4. 発注確認書のExcelの一覧で、控えた契約番号の行を確認する。
5. 共通手順W01に従い対象ファイルを取得し、Excelで開いて本ケースの期待結果を確認する。異常系はファイルが取得されないことを確認する。</x:v>
      </x:c>
      <x:c r="F46" s="10" t="str">
        <x:v>1. 控えた契約番号の行が一覧にある（除外されていない）。
2. 「契約金額」が0、または「製番」が空欄で表示される。</x:v>
      </x:c>
      <x:c r="G46" s="10" t="str">
        <x:v>－</x:v>
      </x:c>
      <x:c r="H46" s="10"/>
      <x:c r="I46" s="10"/>
      <x:c r="J46" s="13"/>
      <x:c r="K46" s="10"/>
      <x:c r="L46" s="10"/>
      <x:c r="M46" s="10"/>
      <x:c r="N46" s="13"/>
      <x:c r="O46" s="10" t="str">
        <x:f>IF(L46&lt;&gt;"",L46,IF(H46="","未実施",H46))</x:f>
        <x:v>未実施</x:v>
      </x:c>
      <x:c r="P46" s="10" t="str">
        <x:v>Web根拠：Mcm3002uExcelService.java／Mcm3002uController.java。VB比較対象：Mcm3001pExcel.vb・Constant.vbと起動元画面。対応する機能条件は末尾の根拠一覧参照。</x:v>
      </x:c>
    </x:row>
    <x:row r="47" ht="148" customHeight="1">
      <x:c r="A47" s="10" t="str">
        <x:v>3001P-19</x:v>
      </x:c>
      <x:c r="B47" s="10" t="str">
        <x:v>合計行</x:v>
      </x:c>
      <x:c r="C47" s="10" t="str">
        <x:v>発注確認書：一覧の最後に「合計」行が出力される</x:v>
      </x:c>
      <x:c r="D47" s="10" t="str">
        <x:v>【前提条件】
・共通の前提のとおり。
・対象月に契約が3件以上ある取引先がある。</x:v>
      </x:c>
      <x:c r="E47" s="10" t="str">
        <x:v>1. メニュー(MCM0001U)で「支払い明細出力指示」ボタンを押下し、MCM3002Uを表示する。
2. 「支払い月」に対象月を入力し、「年払い」または「月払い」を選択する。
3. 「出力」ボタンを押下する。
4. 発注確認書のExcelで、その取引先のシートの一覧の最終行の次の行を確認する。各行の「契約金額」を電卓などで合計する。
5. 共通手順W01に従い対象ファイルを取得し、Excelで開いて本ケースの期待結果を確認する。異常系はファイルが取得されないことを確認する。</x:v>
      </x:c>
      <x:c r="F47" s="10" t="str">
        <x:v>1. 最終行の次の行の「お客様名」の右側の列（H列）に「合計」と表示され、右寄せになっている。
2. 同じ行の「契約金額」の列（I列）が、一覧の全行の「契約金額」の合計と同じである。
3. その行の B列〜J列の背景に色（灰色）が付いている。
4. 「合計」行が1行だけで、2行目の合計行がない。</x:v>
      </x:c>
      <x:c r="G47" s="10" t="str">
        <x:v>－</x:v>
      </x:c>
      <x:c r="H47" s="10"/>
      <x:c r="I47" s="10"/>
      <x:c r="J47" s="13"/>
      <x:c r="K47" s="10"/>
      <x:c r="L47" s="10"/>
      <x:c r="M47" s="10"/>
      <x:c r="N47" s="13"/>
      <x:c r="O47" s="10" t="str">
        <x:f>IF(L47&lt;&gt;"",L47,IF(H47="","未実施",H47))</x:f>
        <x:v>未実施</x:v>
      </x:c>
      <x:c r="P47" s="10" t="str">
        <x:v>Web根拠：Mcm3002uExcelService.java／Mcm3002uController.java。VB比較対象：Mcm3001pExcel.vb・Constant.vbと起動元画面。対応する機能条件は末尾の根拠一覧参照。</x:v>
      </x:c>
    </x:row>
    <x:row r="48" ht="148" customHeight="1">
      <x:c r="A48" s="10" t="str">
        <x:v>3001P-20</x:v>
      </x:c>
      <x:c r="B48" s="10" t="str">
        <x:v>書式</x:v>
      </x:c>
      <x:c r="C48" s="10" t="str">
        <x:v>発注確認書：一覧と合計行に罫線が付く</x:v>
      </x:c>
      <x:c r="D48" s="10" t="str">
        <x:v>【前提条件】
・共通の前提のとおり。
・対象月に契約が3件以上ある取引先がある。</x:v>
      </x:c>
      <x:c r="E48" s="10" t="str">
        <x:v>1. メニュー(MCM0001U)で「支払い明細出力指示」ボタンを押下し、MCM3002Uを表示する。
2. 「支払い月」に対象月を入力し、「年払い」または「月払い」を選択する。
3. 「出力」ボタンを押下する。
4. 発注確認書のExcelで、一覧の16行目から「合計」行までの枠線を確認する。
5. 共通手順W01に従い対象ファイルを取得し、Excelで開いて本ケースの期待結果を確認する。異常系はファイルが取得されないことを確認する。</x:v>
      </x:c>
      <x:c r="F48" s="10" t="str">
        <x:v>1. 16行目から「合計」行まで、「No」「契約番号」「注文年」「注文月」「種類」「納入先名（G〜H列）」「契約金額」「製番」の各列が、列ごとの外枠で囲まれている。
2. 隣り合う列の間の縦線が、列ごとの外枠の線のみ（列の内側の縦線が付いていない。「納入先名」は G〜H列が1つの枠）。
3. 行と行の間に細い横線が付いている。
4. 「合計」行の下の行に枠線が付いていない。</x:v>
      </x:c>
      <x:c r="G48" s="10" t="str">
        <x:v>－</x:v>
      </x:c>
      <x:c r="H48" s="10"/>
      <x:c r="I48" s="10"/>
      <x:c r="J48" s="13"/>
      <x:c r="K48" s="10"/>
      <x:c r="L48" s="10"/>
      <x:c r="M48" s="10"/>
      <x:c r="N48" s="13"/>
      <x:c r="O48" s="10" t="str">
        <x:f>IF(L48&lt;&gt;"",L48,IF(H48="","未実施",H48))</x:f>
        <x:v>未実施</x:v>
      </x:c>
      <x:c r="P48" s="10" t="str">
        <x:v>Web根拠：Mcm3002uExcelService.java／Mcm3002uController.java。VB比較対象：Mcm3001pExcel.vb・Constant.vbと起動元画面。対応する機能条件は末尾の根拠一覧参照。</x:v>
      </x:c>
    </x:row>
    <x:row r="49" ht="148" customHeight="1">
      <x:c r="A49" s="10" t="str">
        <x:v>3001P-21</x:v>
      </x:c>
      <x:c r="B49" s="10" t="str">
        <x:v>複数取引先</x:v>
      </x:c>
      <x:c r="C49" s="10" t="str">
        <x:v>発注確認書：取引先ごとに別のシートに分かれ、合計も取引先ごとになる</x:v>
      </x:c>
      <x:c r="D49" s="10" t="str">
        <x:v>【前提条件】
・共通の前提のとおり。
・対象月に、契約が2件以上ある取引先A、契約が1件以上ある取引先Bがある（同じ「年払い」または「月払い」）。
・取引先Aと取引先Bの契約番号を控えている。</x:v>
      </x:c>
      <x:c r="E49" s="10" t="str">
        <x:v>1. メニュー(MCM0001U)で「支払い明細出力指示」ボタンを押下し、MCM3002Uを表示する。
2. 「支払い月」に対象月を入力し、「年払い」または「月払い」を選択する。
3. 「出力」ボタンを押下する。
4. 発注確認書のExcelで、取引先Aのシートと取引先Bのシートの、宛先、契約番号、「合計」行の金額を確認する。
5. 共通手順W01に従い対象ファイルを取得し、Excelで開いて本ケースの期待結果を確認する。異常系はファイルが取得されないことを確認する。</x:v>
      </x:c>
      <x:c r="F49" s="10" t="str">
        <x:v>1. 取引先Aのシートには、取引先Aの契約だけが並び、取引先Bの契約がない。
2. 取引先Bのシートには、取引先Bの契約だけが並び、取引先Aの契約がない。
3. 各シートの「No」が、シートごとに1から始まる。
4. 各シートの「合計」行の金額が、そのシートの契約金額の合計と同じである（他のシートの金額を含まない）。
5. 各シートの「宛先」が、そのシートの取引先の名前である。</x:v>
      </x:c>
      <x:c r="G49" s="10" t="str">
        <x:v>－</x:v>
      </x:c>
      <x:c r="H49" s="10"/>
      <x:c r="I49" s="10"/>
      <x:c r="J49" s="13"/>
      <x:c r="K49" s="10"/>
      <x:c r="L49" s="10"/>
      <x:c r="M49" s="10"/>
      <x:c r="N49" s="13"/>
      <x:c r="O49" s="10" t="str">
        <x:f>IF(L49&lt;&gt;"",L49,IF(H49="","未実施",H49))</x:f>
        <x:v>未実施</x:v>
      </x:c>
      <x:c r="P49" s="10" t="str">
        <x:v>Web根拠：Mcm3002uExcelService.java／Mcm3002uController.java。VB比較対象：Mcm3001pExcel.vb・Constant.vbと起動元画面。対応する機能条件は末尾の根拠一覧参照。</x:v>
      </x:c>
    </x:row>
    <x:row r="50" ht="148" customHeight="1">
      <x:c r="A50" s="10" t="str">
        <x:v>3001P-22</x:v>
      </x:c>
      <x:c r="B50" s="10" t="str">
        <x:v>書式</x:v>
      </x:c>
      <x:c r="C50" s="10" t="str">
        <x:v>発注確認書：複数ページに渡る場合に、1〜15行目が各ページの先頭に繰り返し印刷される</x:v>
      </x:c>
      <x:c r="D50" s="10" t="str">
        <x:v>【前提条件】
・共通の前提のとおり。
・対象月に、1ページに収まらない件数（目安：50件以上）の契約を持つ取引先がある。【要確認：該当データの有無】</x:v>
      </x:c>
      <x:c r="E50" s="10" t="str">
        <x:v>1. メニュー(MCM0001U)で「支払い明細出力指示」ボタンを押下し、MCM3002Uを表示する。
2. 「支払い月」に対象月を入力し、「年払い」または「月払い」を選択する。
3. 「出力」ボタンを押下する。
4. 発注確認書のExcelで、その取引先のシートの印刷プレビューを表示し、2ページ目の先頭を確認する。
5. 共通手順W01に従い対象ファイルを取得し、Excelで開いて本ケースの期待結果を確認する。異常系はファイルが取得されないことを確認する。</x:v>
      </x:c>
      <x:c r="F50" s="10" t="str">
        <x:v>1. 2ページ目の先頭に、1ページ目と同じ1〜15行目（タイトル、宛先、支払月度、支払区分、一覧の見出し）が表示される。
2. 続けて、1ページ目の最後の次の行から契約が表示される。</x:v>
      </x:c>
      <x:c r="G50" s="10" t="str">
        <x:v>－</x:v>
      </x:c>
      <x:c r="H50" s="10"/>
      <x:c r="I50" s="10"/>
      <x:c r="J50" s="13"/>
      <x:c r="K50" s="10"/>
      <x:c r="L50" s="10"/>
      <x:c r="M50" s="10"/>
      <x:c r="N50" s="13"/>
      <x:c r="O50" s="10" t="str">
        <x:f>IF(L50&lt;&gt;"",L50,IF(H50="","未実施",H50))</x:f>
        <x:v>未実施</x:v>
      </x:c>
      <x:c r="P50" s="10" t="str">
        <x:v>Web根拠：Mcm3002uExcelService.java／Mcm3002uController.java。VB比較対象：Mcm3001pExcel.vb・Constant.vbと起動元画面。対応する機能条件は末尾の根拠一覧参照。</x:v>
      </x:c>
    </x:row>
    <x:row r="51" ht="134" customHeight="1">
      <x:c r="A51" s="10" t="str">
        <x:v>3001P-23</x:v>
      </x:c>
      <x:c r="B51" s="10" t="str">
        <x:v>0件</x:v>
      </x:c>
      <x:c r="C51" s="10" t="str">
        <x:v>MCM3002U：出力対象が0件の月で「出力」を押下した場合</x:v>
      </x:c>
      <x:c r="D51" s="10" t="str">
        <x:v>【前提条件】
・支払い対象の契約が1件もない月（例：契約期間と関係のない将来の月）が分かっている。
・または、支払い対象の契約が「年払い」だけの月で「月払い」を選択する。</x:v>
      </x:c>
      <x:c r="E51" s="10" t="str">
        <x:v>1. メニュー(MCM0001U)で「支払い明細出力指示」ボタンを押下し、MCM3002Uを表示する。
2. 「支払い月」に、契約がない月を入力する。
3. 「年払い」または「月払い」を選択する。
4. 「出力」ボタンを押下する。
5. 表示されたメッセージの内容を確認し、「OK」を押下する。
6. 共通手順W01に従い対象ファイルを取得し、Excelで開いて本ケースの期待結果を確認する。異常系はファイルが取得されないことを確認する。</x:v>
      </x:c>
      <x:c r="F51" s="10" t="str">
        <x:v>Web画面に「対象データが存在しません。」を通知して終了する。発注確認書・支払い明細のZIPを取得させない。</x:v>
      </x:c>
      <x:c r="G51" s="10" t="str">
        <x:v>対象データが存在しません。</x:v>
      </x:c>
      <x:c r="H51" s="10"/>
      <x:c r="I51" s="10"/>
      <x:c r="J51" s="13"/>
      <x:c r="K51" s="10"/>
      <x:c r="L51" s="10"/>
      <x:c r="M51" s="10"/>
      <x:c r="N51" s="13"/>
      <x:c r="O51" s="10" t="str">
        <x:f>IF(L51&lt;&gt;"",L51,IF(H51="","未実施",H51))</x:f>
        <x:v>未実施</x:v>
      </x:c>
      <x:c r="P51" s="10" t="str">
        <x:v>旧3005P-22を統合。未該当月と支払区分未該当の条件を実施し、共通ZIPと両帳票が取得されないことを確認。</x:v>
      </x:c>
    </x:row>
    <x:row r="52" ht="120" customHeight="1">
      <x:c r="A52" s="10" t="str">
        <x:v>3001P-24</x:v>
      </x:c>
      <x:c r="B52" s="10" t="str">
        <x:v>入力</x:v>
      </x:c>
      <x:c r="C52" s="10" t="str">
        <x:v>MCM3002U：「支払い月」が未入力のまま「出力」を押下した場合</x:v>
      </x:c>
      <x:c r="D52" s="10" t="str">
        <x:v>【前提条件】
・共通の前提のとおり。</x:v>
      </x:c>
      <x:c r="E52" s="10" t="str">
        <x:v>1. メニュー(MCM0001U)で「支払い明細出力指示」ボタンを押下し、MCM3002Uを表示する。
2. 「支払い月」の入力欄を空にする（初期値の年月を削除する）。
3. 「出力」ボタンを押下する。
4. 共通手順W01に従い対象ファイルを取得し、Excelで開いて本ケースの期待結果を確認する。異常系はファイルが取得されないことを確認する。</x:v>
      </x:c>
      <x:c r="F52" s="10" t="str">
        <x:v>支払い月を入力してください。をWeb画面で通知して処理を中止する。ZIPを取得させず、後続の0件・変換例外を連続して通知しない。</x:v>
      </x:c>
      <x:c r="G52" s="10" t="str">
        <x:v>支払い月を入力してください。</x:v>
      </x:c>
      <x:c r="H52" s="10"/>
      <x:c r="I52" s="10"/>
      <x:c r="J52" s="13"/>
      <x:c r="K52" s="10"/>
      <x:c r="L52" s="10"/>
      <x:c r="M52" s="10"/>
      <x:c r="N52" s="13"/>
      <x:c r="O52" s="10" t="str">
        <x:f>IF(L52&lt;&gt;"",L52,IF(H52="","未実施",H52))</x:f>
        <x:v>未実施</x:v>
      </x:c>
      <x:c r="P52" s="10" t="str">
        <x:v>原案の「Returnがないので処理が続く」は訂正。VB共通の末尾E通知は例外で中止。Webの必須・書式検査で同じ不備を止める。</x:v>
      </x:c>
    </x:row>
    <x:row r="53" ht="106" customHeight="1">
      <x:c r="A53" s="10" t="str">
        <x:v>3001P-25</x:v>
      </x:c>
      <x:c r="B53" s="10" t="str">
        <x:v>入力</x:v>
      </x:c>
      <x:c r="C53" s="10" t="str">
        <x:v>MCM3002U：「支払い月」の書式が誤っている場合</x:v>
      </x:c>
      <x:c r="D53" s="10" t="str">
        <x:v>【前提条件】
・共通の前提のとおり。</x:v>
      </x:c>
      <x:c r="E53" s="10" t="str">
        <x:v>1. メニュー(MCM0001U)で「支払い明細出力指示」ボタンを押下し、MCM3002Uを表示する。
2. 「支払い月」に「2026/13」を入力する。
3. 「出力」ボタンを押下する。
4. 共通手順W01に従い対象ファイルを取得し、Excelで開いて本ケースの期待結果を確認する。異常系はファイルが取得されないことを確認する。</x:v>
      </x:c>
      <x:c r="F53" s="10" t="str">
        <x:v>支払い月は YYYY/MM 形式で入力してください（例: 2026/08）。をWeb画面で通知して処理を中止する。ZIPを取得させず、後続の0件・変換例外を連続して通知しない。</x:v>
      </x:c>
      <x:c r="G53" s="10" t="str">
        <x:v>支払い月は YYYY/MM 形式で入力してください（例: 2026/08）。</x:v>
      </x:c>
      <x:c r="H53" s="10"/>
      <x:c r="I53" s="10"/>
      <x:c r="J53" s="13"/>
      <x:c r="K53" s="10"/>
      <x:c r="L53" s="10"/>
      <x:c r="M53" s="10"/>
      <x:c r="N53" s="13"/>
      <x:c r="O53" s="10" t="str">
        <x:f>IF(L53&lt;&gt;"",L53,IF(H53="","未実施",H53))</x:f>
        <x:v>未実施</x:v>
      </x:c>
      <x:c r="P53" s="10" t="str">
        <x:v>原案の「Returnがないので処理が続く」は訂正。VB共通の末尾E通知は例外で中止。Webの必須・書式検査で同じ不備を止める。</x:v>
      </x:c>
    </x:row>
    <x:row r="54" ht="134" customHeight="1">
      <x:c r="A54" s="10" t="str">
        <x:v>3001P-26</x:v>
      </x:c>
      <x:c r="B54" s="10" t="str">
        <x:v>権限</x:v>
      </x:c>
      <x:c r="C54" s="10" t="str">
        <x:v>MCM3002U(支払い明細出力指示)：参照のみ権限のユーザーでも「出力」が押下できる</x:v>
      </x:c>
      <x:c r="D54" s="10" t="str">
        <x:v>【前提条件】
・ログインユーザーの「支払い明細出力指示」の画面権限が「参照」である。【要確認：参照権限のユーザーの用意】
・共通の前提のとおり。</x:v>
      </x:c>
      <x:c r="E54" s="10" t="str">
        <x:v>1. 参照権限のユーザーでログインし、メニュー(MCM0001U)で「支払い明細出力指示」ボタンを押下し、MCM3002Uを表示する。
2. 「支払い月」に対象月を入力し、「年払い」を選択する。
3. 「出力」ボタンの状態（押下できるか、グレー表示か）を確認する。
4. 「出力」ボタンを押下する。
5. 共通手順W01に従い対象ファイルを取得し、Excelで開いて本ケースの期待結果を確認する。異常系はファイルが取得されないことを確認する。</x:v>
      </x:c>
      <x:c r="F54" s="10" t="str">
        <x:v>1. 「出力」ボタンが活性（押下できる状態）である。
2. 「出力」ボタンの押下で、発注確認書の帳票をダウンロードできる。</x:v>
      </x:c>
      <x:c r="G54" s="10" t="str">
        <x:v>－</x:v>
      </x:c>
      <x:c r="H54" s="10"/>
      <x:c r="I54" s="10"/>
      <x:c r="J54" s="13"/>
      <x:c r="K54" s="10"/>
      <x:c r="L54" s="10"/>
      <x:c r="M54" s="10"/>
      <x:c r="N54" s="13"/>
      <x:c r="O54" s="10" t="str">
        <x:f>IF(L54&lt;&gt;"",L54,IF(H54="","未実施",H54))</x:f>
        <x:v>未実施</x:v>
      </x:c>
      <x:c r="P54" s="10" t="str">
        <x:v>Web根拠：Mcm3002uExcelService.java／Mcm3002uController.java。VB比較対象：Mcm3001pExcel.vb・Constant.vbと起動元画面。対応する機能条件は末尾の根拠一覧参照。</x:v>
      </x:c>
    </x:row>
    <x:row r="55" ht="45" customHeight="1">
      <x:c r="A55" s="10" t="str">
        <x:v>3001P-27</x:v>
      </x:c>
      <x:c r="B55" s="10" t="str">
        <x:v>追加／境界</x:v>
      </x:c>
      <x:c r="C55" s="10" t="str">
        <x:v>料金変更・支払間隔・端数配賦</x:v>
      </x:c>
      <x:c r="D55" s="10" t="str">
        <x:v>12か月の料金10001、途中変更、年2回支払等を準備。期待月額を事前計算。</x:v>
      </x:c>
      <x:c r="E55" s="10" t="str">
        <x:v>支払月ごとに出力し次回支払前月までの金額を比較。</x:v>
      </x:c>
      <x:c r="F55" s="10" t="str">
        <x:v>料金適用期間で配賦し、対象外月は含めず、端数と周年の配賦がVB計算条件に一致する。</x:v>
      </x:c>
      <x:c r="G55" s="10" t="str">
        <x:v>－</x:v>
      </x:c>
      <x:c r="H55" s="10"/>
      <x:c r="I55" s="10"/>
      <x:c r="J55" s="13"/>
      <x:c r="K55" s="10"/>
      <x:c r="L55" s="10"/>
      <x:c r="M55" s="10"/>
      <x:c r="N55" s="13"/>
      <x:c r="O55" s="10" t="str">
        <x:f>IF(L55&lt;&gt;"",L55,IF(H55="","未実施",H55))</x:f>
        <x:v>未実施</x:v>
      </x:c>
      <x:c r="P55" s="10" t="str">
        <x:v>Mcm3002uService.calculatePayment。実際の対象ビューに到達しないデータは生成／計算の単体試験で補う。</x:v>
      </x:c>
    </x:row>
    <x:row r="56" ht="45" customHeight="1">
      <x:c r="A56" s="10" t="str">
        <x:v>3001P-28</x:v>
      </x:c>
      <x:c r="B56" s="10" t="str">
        <x:v>追加／境界</x:v>
      </x:c>
      <x:c r="C56" s="10" t="str">
        <x:v>契約終了日とNULL終了日</x:v>
      </x:c>
      <x:c r="D56" s="10" t="str">
        <x:v>月末終了・月途中終了・終了日NULLの3対象を準備。</x:v>
      </x:c>
      <x:c r="E56" s="10" t="str">
        <x:v>支払額を月別に比較。</x:v>
      </x:c>
      <x:c r="F56" s="10" t="str">
        <x:v>契約期間境界と無期限の月割り周期を正しく扱い、終了後の額や前契約の額を混入しない。</x:v>
      </x:c>
      <x:c r="G56" s="10" t="str">
        <x:v>－</x:v>
      </x:c>
      <x:c r="H56" s="10"/>
      <x:c r="I56" s="10"/>
      <x:c r="J56" s="13"/>
      <x:c r="K56" s="10"/>
      <x:c r="L56" s="10"/>
      <x:c r="M56" s="10"/>
      <x:c r="N56" s="13"/>
      <x:c r="O56" s="10" t="str">
        <x:f>IF(L56&lt;&gt;"",L56,IF(H56="","未実施",H56))</x:f>
        <x:v>未実施</x:v>
      </x:c>
      <x:c r="P56" s="10" t="str">
        <x:v>追加観点。Web根拠一覧参照。</x:v>
      </x:c>
    </x:row>
    <x:row r="57" ht="45" customHeight="1">
      <x:c r="A57" s="10" t="str">
        <x:v>3001P-29</x:v>
      </x:c>
      <x:c r="B57" s="10" t="str">
        <x:v>追加／境界</x:v>
      </x:c>
      <x:c r="C57" s="10" t="str">
        <x:v>取引先IDと同名／同コードの分離</x:v>
      </x:c>
      <x:c r="D57" s="10" t="str">
        <x:v>別IDで同名・同コード、Decimal IDの表現だけ異なる対象を準備。</x:v>
      </x:c>
      <x:c r="E57" s="10" t="str">
        <x:v>ZIP内のシート数・契約所属を確認。</x:v>
      </x:c>
      <x:c r="F57" s="10" t="str">
        <x:v>同一IDは同一グループ、別IDは別グループ。安全な名前を一意化し、契約や合計を誤結合しない。</x:v>
      </x:c>
      <x:c r="G57" s="10" t="str">
        <x:v>－</x:v>
      </x:c>
      <x:c r="H57" s="10"/>
      <x:c r="I57" s="10"/>
      <x:c r="J57" s="13"/>
      <x:c r="K57" s="10"/>
      <x:c r="L57" s="10"/>
      <x:c r="M57" s="10"/>
      <x:c r="N57" s="13"/>
      <x:c r="O57" s="10" t="str">
        <x:f>IF(L57&lt;&gt;"",L57,IF(H57="","未実施",H57))</x:f>
        <x:v>未実施</x:v>
      </x:c>
      <x:c r="P57" s="10" t="str">
        <x:v>追加観点。Web根拠一覧参照。</x:v>
      </x:c>
    </x:row>
  </x:sheetData>
  <x:mergeCells>
    <x:mergeCell ref="A1:P1"/>
    <x:mergeCell ref="A3:C3"/>
    <x:mergeCell ref="D3:P3"/>
    <x:mergeCell ref="A4:C4"/>
    <x:mergeCell ref="D4:P4"/>
    <x:mergeCell ref="A6:P6"/>
    <x:mergeCell ref="A7:C7"/>
    <x:mergeCell ref="D7:P7"/>
    <x:mergeCell ref="A8:C8"/>
    <x:mergeCell ref="D8:P8"/>
    <x:mergeCell ref="A9:C9"/>
    <x:mergeCell ref="D9:P9"/>
    <x:mergeCell ref="A10:C10"/>
    <x:mergeCell ref="D10:P10"/>
    <x:mergeCell ref="A14:P14"/>
    <x:mergeCell ref="A16:C16"/>
    <x:mergeCell ref="D16:P16"/>
    <x:mergeCell ref="A17:C17"/>
    <x:mergeCell ref="D17:P17"/>
    <x:mergeCell ref="A18:C18"/>
    <x:mergeCell ref="D18:P18"/>
    <x:mergeCell ref="A20:C20"/>
    <x:mergeCell ref="D20:P20"/>
    <x:mergeCell ref="A26:P26"/>
  </x:mergeCells>
  <x:dataValidations count="2">
    <x:dataValidation type="list" sqref="H29:H57">
      <x:formula1>"未実施,OK,NG,保留,対象外"</x:formula1>
    </x:dataValidation>
    <x:dataValidation type="list" sqref="L29:L57">
      <x:formula1>"未実施,OK,NG,保留,対象外"</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pane ySplit="27" topLeftCell="A28" activePane="bottomLeft" state="frozen"/>
    </x:sheetView>
  </x:sheetViews>
  <x:sheetFormatPr defaultRowHeight="15"/>
  <x:cols>
    <x:col min="1" max="1" width="13" hidden="0" customWidth="1"/>
    <x:col min="2" max="2" width="14" hidden="0" customWidth="1"/>
    <x:col min="3" max="3" width="44" hidden="0" customWidth="1"/>
    <x:col min="4" max="4" width="52" hidden="0" customWidth="1"/>
    <x:col min="5" max="5" width="60" hidden="0" customWidth="1"/>
    <x:col min="6" max="6" width="64" hidden="0" customWidth="1"/>
    <x:col min="7" max="7" width="40" hidden="0" customWidth="1"/>
    <x:col min="8" max="8" width="12" hidden="0" customWidth="1"/>
    <x:col min="9" max="9" width="14" hidden="0" customWidth="1"/>
    <x:col min="10" max="10" width="15" hidden="0" customWidth="1"/>
    <x:col min="11" max="11" width="40" hidden="0" customWidth="1"/>
    <x:col min="12" max="12" width="14" hidden="0" customWidth="1"/>
    <x:col min="13" max="13" width="17" hidden="0" customWidth="1"/>
    <x:col min="14" max="14" width="17" hidden="0" customWidth="1"/>
    <x:col min="15" max="15" width="13" hidden="0" customWidth="1"/>
    <x:col min="16" max="16" width="54" hidden="0" customWidth="1"/>
  </x:cols>
  <x:sheetData>
    <x:row r="1" ht="26" customHeight="1">
      <x:c r="A1" s="4" t="str">
        <x:v>MCM3002P_定期点検DB登録データ 単体テスト仕様書</x:v>
      </x:c>
      <x:c r="B1" s="4"/>
      <x:c r="C1" s="4"/>
      <x:c r="D1" s="4"/>
      <x:c r="E1" s="4"/>
      <x:c r="F1" s="4"/>
      <x:c r="G1" s="4"/>
      <x:c r="H1" s="4"/>
      <x:c r="I1" s="4"/>
      <x:c r="J1" s="4"/>
      <x:c r="K1" s="4"/>
      <x:c r="L1" s="4"/>
      <x:c r="M1" s="4"/>
      <x:c r="N1" s="4"/>
      <x:c r="O1" s="4"/>
      <x:c r="P1" s="4"/>
    </x:row>
    <x:row r="2">
      <x:c r="A2" s="3"/>
      <x:c r="B2" s="3"/>
      <x:c r="C2" s="3"/>
      <x:c r="D2" s="3"/>
      <x:c r="E2" s="3"/>
      <x:c r="F2" s="3"/>
      <x:c r="G2" s="3"/>
      <x:c r="H2" s="3"/>
      <x:c r="I2" s="3"/>
      <x:c r="J2" s="3"/>
      <x:c r="K2" s="3"/>
      <x:c r="L2" s="3"/>
      <x:c r="M2" s="3"/>
      <x:c r="N2" s="3"/>
      <x:c r="O2" s="3"/>
      <x:c r="P2" s="3"/>
    </x:row>
    <x:row r="3" ht="34" customHeight="1">
      <x:c r="A3" s="3" t="str">
        <x:v>画面情報</x:v>
      </x:c>
      <x:c r="B3" s="3"/>
      <x:c r="C3" s="3"/>
      <x:c r="D3" s="3" t="str">
        <x:v>起点：保守点検出力指示（MCM3003U）で「ＤＢ登録用データ」。</x:v>
      </x:c>
      <x:c r="E3" s="3"/>
      <x:c r="F3" s="3"/>
      <x:c r="G3" s="3"/>
      <x:c r="H3" s="3"/>
      <x:c r="I3" s="3"/>
      <x:c r="J3" s="3"/>
      <x:c r="K3" s="3"/>
      <x:c r="L3" s="3"/>
      <x:c r="M3" s="3"/>
      <x:c r="N3" s="3"/>
      <x:c r="O3" s="3"/>
      <x:c r="P3" s="3"/>
    </x:row>
    <x:row r="4" ht="48" customHeight="1">
      <x:c r="A4" s="3" t="str">
        <x:v>出力形式・名称</x:v>
      </x:c>
      <x:c r="B4" s="3"/>
      <x:c r="C4" s="3"/>
      <x:c r="D4" s="3" t="str">
        <x:v>取得形式／名前：{開始YYYYMM}_{終了YYYYMM}_全件_定期点検DB登録データ.xls／{対象日付範囲}_差分_定期点検DB登録データ.xls。共通W01〜W06も実施する。</x:v>
      </x:c>
      <x:c r="E4" s="3"/>
      <x:c r="F4" s="3"/>
      <x:c r="G4" s="3"/>
      <x:c r="H4" s="3"/>
      <x:c r="I4" s="3"/>
      <x:c r="J4" s="3"/>
      <x:c r="K4" s="3"/>
      <x:c r="L4" s="3"/>
      <x:c r="M4" s="3"/>
      <x:c r="N4" s="3"/>
      <x:c r="O4" s="3"/>
      <x:c r="P4" s="3"/>
    </x:row>
    <x:row r="5">
      <x:c r="A5" s="3"/>
      <x:c r="B5" s="3"/>
      <x:c r="C5" s="3"/>
      <x:c r="D5" s="3"/>
      <x:c r="E5" s="3"/>
      <x:c r="F5" s="3"/>
      <x:c r="G5" s="3"/>
      <x:c r="H5" s="3"/>
      <x:c r="I5" s="3"/>
      <x:c r="J5" s="3"/>
      <x:c r="K5" s="3"/>
      <x:c r="L5" s="3"/>
      <x:c r="M5" s="3"/>
      <x:c r="N5" s="3"/>
      <x:c r="O5" s="3"/>
      <x:c r="P5" s="3"/>
    </x:row>
    <x:row r="6">
      <x:c r="A6" s="6" t="str">
        <x:v>根拠ソース</x:v>
      </x:c>
      <x:c r="B6" s="6" t="str">
        <x:v>根拠ソース</x:v>
      </x:c>
      <x:c r="C6" s="6" t="str">
        <x:v>根拠ソース</x:v>
      </x:c>
      <x:c r="D6" s="6" t="str">
        <x:v>根拠ソース</x:v>
      </x:c>
      <x:c r="E6" s="6" t="str">
        <x:v>根拠ソース</x:v>
      </x:c>
      <x:c r="F6" s="6" t="str">
        <x:v>根拠ソース</x:v>
      </x:c>
      <x:c r="G6" s="6" t="str">
        <x:v>根拠ソース</x:v>
      </x:c>
      <x:c r="H6" s="6" t="str">
        <x:v>根拠ソース</x:v>
      </x:c>
      <x:c r="I6" s="6" t="str">
        <x:v>根拠ソース</x:v>
      </x:c>
      <x:c r="J6" s="6" t="str">
        <x:v>根拠ソース</x:v>
      </x:c>
      <x:c r="K6" s="6" t="str">
        <x:v>根拠ソース</x:v>
      </x:c>
      <x:c r="L6" s="6" t="str">
        <x:v>根拠ソース</x:v>
      </x:c>
      <x:c r="M6" s="6" t="str">
        <x:v>根拠ソース</x:v>
      </x:c>
      <x:c r="N6" s="6" t="str">
        <x:v>根拠ソース</x:v>
      </x:c>
      <x:c r="O6" s="6" t="str">
        <x:v>根拠ソース</x:v>
      </x:c>
      <x:c r="P6" s="6" t="str">
        <x:v>根拠ソース</x:v>
      </x:c>
    </x:row>
    <x:row r="7" ht="26" customHeight="1">
      <x:c r="A7" s="3" t="str">
        <x:v>VB版</x:v>
      </x:c>
      <x:c r="B7" s="3"/>
      <x:c r="C7" s="3"/>
      <x:c r="D7" s="3" t="str">
        <x:v>帳票のExcel.vb・Constant.vb／起動元イベント。既知不具合は再現を合格にしない。</x:v>
      </x:c>
      <x:c r="E7" s="3"/>
      <x:c r="F7" s="3"/>
      <x:c r="G7" s="3"/>
      <x:c r="H7" s="3"/>
      <x:c r="I7" s="3"/>
      <x:c r="J7" s="3"/>
      <x:c r="K7" s="3"/>
      <x:c r="L7" s="3"/>
      <x:c r="M7" s="3"/>
      <x:c r="N7" s="3"/>
      <x:c r="O7" s="3"/>
      <x:c r="P7" s="3"/>
    </x:row>
    <x:row r="8" ht="26" customHeight="1">
      <x:c r="A8" s="3" t="str">
        <x:v>Java版</x:v>
      </x:c>
      <x:c r="B8" s="3"/>
      <x:c r="C8" s="3"/>
      <x:c r="D8" s="3" t="str">
        <x:v>最新Webの帳票Service・起動元Controller。本文の備考／根拠欄とMD末尾を参照。</x:v>
      </x:c>
      <x:c r="E8" s="3"/>
      <x:c r="F8" s="3"/>
      <x:c r="G8" s="3"/>
      <x:c r="H8" s="3"/>
      <x:c r="I8" s="3"/>
      <x:c r="J8" s="3"/>
      <x:c r="K8" s="3"/>
      <x:c r="L8" s="3"/>
      <x:c r="M8" s="3"/>
      <x:c r="N8" s="3"/>
      <x:c r="O8" s="3"/>
      <x:c r="P8" s="3"/>
    </x:row>
    <x:row r="9" ht="26" customHeight="1">
      <x:c r="A9" s="3" t="str">
        <x:v>メッセージ</x:v>
      </x:c>
      <x:c r="B9" s="3"/>
      <x:c r="C9" s="3"/>
      <x:c r="D9" s="3" t="str">
        <x:v>Web画面の通知で判断。VBのネイティブダイアログ・Excel自動起動を要求しない。</x:v>
      </x:c>
      <x:c r="E9" s="3"/>
      <x:c r="F9" s="3"/>
      <x:c r="G9" s="3"/>
      <x:c r="H9" s="3"/>
      <x:c r="I9" s="3"/>
      <x:c r="J9" s="3"/>
      <x:c r="K9" s="3"/>
      <x:c r="L9" s="3"/>
      <x:c r="M9" s="3"/>
      <x:c r="N9" s="3"/>
      <x:c r="O9" s="3"/>
      <x:c r="P9" s="3"/>
    </x:row>
    <x:row r="10" ht="26" customHeight="1">
      <x:c r="A10" s="3" t="str">
        <x:v>参照資料</x:v>
      </x:c>
      <x:c r="B10" s="3"/>
      <x:c r="C10" s="3"/>
      <x:c r="D10" s="3" t="str">
        <x:v>同梱MDの共通確認・F01〜F04・Q01〜Q06。正式な実機確認結果はこれから記入する。</x:v>
      </x:c>
      <x:c r="E10" s="3"/>
      <x:c r="F10" s="3"/>
      <x:c r="G10" s="3"/>
      <x:c r="H10" s="3"/>
      <x:c r="I10" s="3"/>
      <x:c r="J10" s="3"/>
      <x:c r="K10" s="3"/>
      <x:c r="L10" s="3"/>
      <x:c r="M10" s="3"/>
      <x:c r="N10" s="3"/>
      <x:c r="O10" s="3"/>
      <x:c r="P10" s="3"/>
    </x:row>
    <x:row r="11">
      <x:c r="A11" s="3"/>
      <x:c r="B11" s="3"/>
      <x:c r="C11" s="3"/>
      <x:c r="D11" s="3"/>
      <x:c r="E11" s="3"/>
      <x:c r="F11" s="3"/>
      <x:c r="G11" s="3"/>
      <x:c r="H11" s="3"/>
      <x:c r="I11" s="3"/>
      <x:c r="J11" s="3"/>
      <x:c r="K11" s="3"/>
      <x:c r="L11" s="3"/>
      <x:c r="M11" s="3"/>
      <x:c r="N11" s="3"/>
      <x:c r="O11" s="3"/>
      <x:c r="P11" s="3"/>
    </x:row>
    <x:row r="12">
      <x:c r="A12" s="3"/>
      <x:c r="B12" s="3"/>
      <x:c r="C12" s="3"/>
      <x:c r="D12" s="3"/>
      <x:c r="E12" s="3"/>
      <x:c r="F12" s="3"/>
      <x:c r="G12" s="3"/>
      <x:c r="H12" s="3"/>
      <x:c r="I12" s="3"/>
      <x:c r="J12" s="3"/>
      <x:c r="K12" s="3"/>
      <x:c r="L12" s="3"/>
      <x:c r="M12" s="3"/>
      <x:c r="N12" s="3"/>
      <x:c r="O12" s="3"/>
      <x:c r="P12" s="3"/>
    </x:row>
    <x:row r="13">
      <x:c r="A13" s="3"/>
      <x:c r="B13" s="3"/>
      <x:c r="C13" s="3"/>
      <x:c r="D13" s="3"/>
      <x:c r="E13" s="3"/>
      <x:c r="F13" s="3"/>
      <x:c r="G13" s="3"/>
      <x:c r="H13" s="3"/>
      <x:c r="I13" s="3"/>
      <x:c r="J13" s="3"/>
      <x:c r="K13" s="3"/>
      <x:c r="L13" s="3"/>
      <x:c r="M13" s="3"/>
      <x:c r="N13" s="3"/>
      <x:c r="O13" s="3"/>
      <x:c r="P13" s="3"/>
    </x:row>
    <x:row r="14">
      <x:c r="A14" s="6" t="str">
        <x:v>機能一覧</x:v>
      </x:c>
      <x:c r="B14" s="6" t="str">
        <x:v>機能一覧</x:v>
      </x:c>
      <x:c r="C14" s="6" t="str">
        <x:v>機能一覧</x:v>
      </x:c>
      <x:c r="D14" s="6" t="str">
        <x:v>機能一覧</x:v>
      </x:c>
      <x:c r="E14" s="6" t="str">
        <x:v>機能一覧</x:v>
      </x:c>
      <x:c r="F14" s="6" t="str">
        <x:v>機能一覧</x:v>
      </x:c>
      <x:c r="G14" s="6" t="str">
        <x:v>機能一覧</x:v>
      </x:c>
      <x:c r="H14" s="6" t="str">
        <x:v>機能一覧</x:v>
      </x:c>
      <x:c r="I14" s="6" t="str">
        <x:v>機能一覧</x:v>
      </x:c>
      <x:c r="J14" s="6" t="str">
        <x:v>機能一覧</x:v>
      </x:c>
      <x:c r="K14" s="6" t="str">
        <x:v>機能一覧</x:v>
      </x:c>
      <x:c r="L14" s="6" t="str">
        <x:v>機能一覧</x:v>
      </x:c>
      <x:c r="M14" s="6" t="str">
        <x:v>機能一覧</x:v>
      </x:c>
      <x:c r="N14" s="6" t="str">
        <x:v>機能一覧</x:v>
      </x:c>
      <x:c r="O14" s="6" t="str">
        <x:v>機能一覧</x:v>
      </x:c>
      <x:c r="P14" s="6" t="str">
        <x:v>機能一覧</x:v>
      </x:c>
    </x:row>
    <x:row r="15">
      <x:c r="A15" s="3"/>
      <x:c r="B15" s="3"/>
      <x:c r="C15" s="3"/>
      <x:c r="D15" s="3"/>
      <x:c r="E15" s="3"/>
      <x:c r="F15" s="3"/>
      <x:c r="G15" s="3"/>
      <x:c r="H15" s="3"/>
      <x:c r="I15" s="3"/>
      <x:c r="J15" s="3"/>
      <x:c r="K15" s="3"/>
      <x:c r="L15" s="3"/>
      <x:c r="M15" s="3"/>
      <x:c r="N15" s="3"/>
      <x:c r="O15" s="3"/>
      <x:c r="P15" s="3"/>
    </x:row>
    <x:row r="16" ht="26" customHeight="1">
      <x:c r="A16" s="3" t="str">
        <x:v>1</x:v>
      </x:c>
      <x:c r="B16" s="3"/>
      <x:c r="C16" s="3"/>
      <x:c r="D16" s="3" t="str">
        <x:v>帳票の対象・項目・シート構成・表示書式・印刷の確認</x:v>
      </x:c>
      <x:c r="E16" s="3"/>
      <x:c r="F16" s="3"/>
      <x:c r="G16" s="3"/>
      <x:c r="H16" s="3"/>
      <x:c r="I16" s="3"/>
      <x:c r="J16" s="3"/>
      <x:c r="K16" s="3"/>
      <x:c r="L16" s="3"/>
      <x:c r="M16" s="3"/>
      <x:c r="N16" s="3"/>
      <x:c r="O16" s="3"/>
      <x:c r="P16" s="3"/>
    </x:row>
    <x:row r="17" ht="26" customHeight="1">
      <x:c r="A17" s="3" t="str">
        <x:v>2</x:v>
      </x:c>
      <x:c r="B17" s="3"/>
      <x:c r="C17" s="3"/>
      <x:c r="D17" s="3" t="str">
        <x:v>0件・入力不備・権限・失敗・境界・計算条件の確認</x:v>
      </x:c>
      <x:c r="E17" s="3"/>
      <x:c r="F17" s="3"/>
      <x:c r="G17" s="3"/>
      <x:c r="H17" s="3"/>
      <x:c r="I17" s="3"/>
      <x:c r="J17" s="3"/>
      <x:c r="K17" s="3"/>
      <x:c r="L17" s="3"/>
      <x:c r="M17" s="3"/>
      <x:c r="N17" s="3"/>
      <x:c r="O17" s="3"/>
      <x:c r="P17" s="3"/>
    </x:row>
    <x:row r="18" ht="26" customHeight="1">
      <x:c r="A18" s="3" t="str">
        <x:v>3</x:v>
      </x:c>
      <x:c r="B18" s="3"/>
      <x:c r="C18" s="3"/>
      <x:c r="D18" s="3" t="str">
        <x:v>共通確認を関連ケースで実施し、重複する取得操作は再利用</x:v>
      </x:c>
      <x:c r="E18" s="3"/>
      <x:c r="F18" s="3"/>
      <x:c r="G18" s="3"/>
      <x:c r="H18" s="3"/>
      <x:c r="I18" s="3"/>
      <x:c r="J18" s="3"/>
      <x:c r="K18" s="3"/>
      <x:c r="L18" s="3"/>
      <x:c r="M18" s="3"/>
      <x:c r="N18" s="3"/>
      <x:c r="O18" s="3"/>
      <x:c r="P18" s="3"/>
    </x:row>
    <x:row r="19">
      <x:c r="A19" s="3"/>
      <x:c r="B19" s="3"/>
      <x:c r="C19" s="3"/>
      <x:c r="D19" s="3"/>
      <x:c r="E19" s="3"/>
      <x:c r="F19" s="3"/>
      <x:c r="G19" s="3"/>
      <x:c r="H19" s="3"/>
      <x:c r="I19" s="3"/>
      <x:c r="J19" s="3"/>
      <x:c r="K19" s="3"/>
      <x:c r="L19" s="3"/>
      <x:c r="M19" s="3"/>
      <x:c r="N19" s="3"/>
      <x:c r="O19" s="3"/>
      <x:c r="P19" s="3"/>
    </x:row>
    <x:row r="20" ht="30" customHeight="1">
      <x:c r="A20" s="3" t="str">
        <x:v>分類</x:v>
      </x:c>
      <x:c r="B20" s="3"/>
      <x:c r="C20" s="3"/>
      <x:c r="D20" s="3" t="str">
        <x:v>出力起点／対象の絞り込み／帳票レイアウト／行の構成／機器の項目／並び順／0件／入力／権限／追加／境界</x:v>
      </x:c>
      <x:c r="E20" s="3"/>
      <x:c r="F20" s="3"/>
      <x:c r="G20" s="3"/>
      <x:c r="H20" s="3"/>
      <x:c r="I20" s="3"/>
      <x:c r="J20" s="3"/>
      <x:c r="K20" s="3"/>
      <x:c r="L20" s="3"/>
      <x:c r="M20" s="3"/>
      <x:c r="N20" s="3"/>
      <x:c r="O20" s="3"/>
      <x:c r="P20" s="3"/>
    </x:row>
    <x:row r="21">
      <x:c r="A21" s="3"/>
      <x:c r="B21" s="3"/>
      <x:c r="C21" s="3"/>
      <x:c r="D21" s="3"/>
      <x:c r="E21" s="3"/>
      <x:c r="F21" s="3"/>
      <x:c r="G21" s="3"/>
      <x:c r="H21" s="3"/>
      <x:c r="I21" s="3"/>
      <x:c r="J21" s="3"/>
      <x:c r="K21" s="3"/>
      <x:c r="L21" s="3"/>
      <x:c r="M21" s="3"/>
      <x:c r="N21" s="3"/>
      <x:c r="O21" s="3"/>
      <x:c r="P21" s="3"/>
    </x:row>
    <x:row r="22">
      <x:c r="A22" s="3"/>
      <x:c r="B22" s="3"/>
      <x:c r="C22" s="3"/>
      <x:c r="D22" s="3"/>
      <x:c r="E22" s="3"/>
      <x:c r="F22" s="3"/>
      <x:c r="G22" s="3"/>
      <x:c r="H22" s="3"/>
      <x:c r="I22" s="3"/>
      <x:c r="J22" s="3"/>
      <x:c r="K22" s="3"/>
      <x:c r="L22" s="3"/>
      <x:c r="M22" s="3"/>
      <x:c r="N22" s="3"/>
      <x:c r="O22" s="3"/>
      <x:c r="P22" s="3"/>
    </x:row>
    <x:row r="23">
      <x:c r="A23" s="3" t="str">
        <x:v>件数</x:v>
      </x:c>
      <x:c r="B23" s="3" t="n">
        <x:f>COUNTA(A29:A56)</x:f>
        <x:v>28</x:v>
      </x:c>
      <x:c r="C23" s="3" t="str">
        <x:v>OK</x:v>
      </x:c>
      <x:c r="D23" s="3" t="n">
        <x:f>COUNTIF(O29:O56,"OK")</x:f>
        <x:v>0</x:v>
      </x:c>
      <x:c r="E23" s="3" t="str">
        <x:v>NG</x:v>
      </x:c>
      <x:c r="F23" s="3" t="n">
        <x:f>COUNTIF(O29:O56,"NG")</x:f>
        <x:v>0</x:v>
      </x:c>
      <x:c r="G23" s="3" t="str">
        <x:v>未実施</x:v>
      </x:c>
      <x:c r="H23" s="3" t="n">
        <x:f>COUNTIF(O29:O56,"未実施")</x:f>
        <x:v>28</x:v>
      </x:c>
      <x:c r="I23" s="3"/>
      <x:c r="J23" s="3"/>
      <x:c r="K23" s="3"/>
      <x:c r="L23" s="3"/>
      <x:c r="M23" s="3"/>
      <x:c r="N23" s="3"/>
      <x:c r="O23" s="3"/>
      <x:c r="P23" s="3"/>
    </x:row>
    <x:row r="24">
      <x:c r="A24" s="3"/>
      <x:c r="B24" s="3"/>
      <x:c r="C24" s="3"/>
      <x:c r="D24" s="3"/>
      <x:c r="E24" s="3"/>
      <x:c r="F24" s="3"/>
      <x:c r="G24" s="3"/>
      <x:c r="H24" s="3"/>
      <x:c r="I24" s="3"/>
      <x:c r="J24" s="3"/>
      <x:c r="K24" s="3"/>
      <x:c r="L24" s="3"/>
      <x:c r="M24" s="3"/>
      <x:c r="N24" s="3"/>
      <x:c r="O24" s="3"/>
      <x:c r="P24" s="3"/>
    </x:row>
    <x:row r="25">
      <x:c r="A25" s="3"/>
      <x:c r="B25" s="3"/>
      <x:c r="C25" s="3"/>
      <x:c r="D25" s="3"/>
      <x:c r="E25" s="3"/>
      <x:c r="F25" s="3"/>
      <x:c r="G25" s="3"/>
      <x:c r="H25" s="3"/>
      <x:c r="I25" s="3"/>
      <x:c r="J25" s="3"/>
      <x:c r="K25" s="3"/>
      <x:c r="L25" s="3"/>
      <x:c r="M25" s="3"/>
      <x:c r="N25" s="3"/>
      <x:c r="O25" s="3"/>
      <x:c r="P25" s="3"/>
    </x:row>
    <x:row r="26">
      <x:c r="A26" s="6" t="str">
        <x:v>単体テストケース</x:v>
      </x:c>
      <x:c r="B26" s="6" t="str">
        <x:v>単体テストケース</x:v>
      </x:c>
      <x:c r="C26" s="6" t="str">
        <x:v>単体テストケース</x:v>
      </x:c>
      <x:c r="D26" s="6" t="str">
        <x:v>単体テストケース</x:v>
      </x:c>
      <x:c r="E26" s="6" t="str">
        <x:v>単体テストケース</x:v>
      </x:c>
      <x:c r="F26" s="6" t="str">
        <x:v>単体テストケース</x:v>
      </x:c>
      <x:c r="G26" s="6" t="str">
        <x:v>単体テストケース</x:v>
      </x:c>
      <x:c r="H26" s="6" t="str">
        <x:v>単体テストケース</x:v>
      </x:c>
      <x:c r="I26" s="6" t="str">
        <x:v>単体テストケース</x:v>
      </x:c>
      <x:c r="J26" s="6" t="str">
        <x:v>単体テストケース</x:v>
      </x:c>
      <x:c r="K26" s="6" t="str">
        <x:v>単体テストケース</x:v>
      </x:c>
      <x:c r="L26" s="6" t="str">
        <x:v>単体テストケース</x:v>
      </x:c>
      <x:c r="M26" s="6" t="str">
        <x:v>単体テストケース</x:v>
      </x:c>
      <x:c r="N26" s="6" t="str">
        <x:v>単体テストケース</x:v>
      </x:c>
      <x:c r="O26" s="6" t="str">
        <x:v>単体テストケース</x:v>
      </x:c>
      <x:c r="P26" s="6" t="str">
        <x:v>単体テストケース</x:v>
      </x:c>
    </x:row>
    <x:row r="27" ht="28" customHeight="1">
      <x:c r="A27" s="9" t="str">
        <x:v>項番</x:v>
      </x:c>
      <x:c r="B27" s="9" t="str">
        <x:v>分類</x:v>
      </x:c>
      <x:c r="C27" s="9" t="str">
        <x:v>テスト項目</x:v>
      </x:c>
      <x:c r="D27" s="9" t="str">
        <x:v>前提条件</x:v>
      </x:c>
      <x:c r="E27" s="9" t="str">
        <x:v>操作内容(入力値)</x:v>
      </x:c>
      <x:c r="F27" s="9" t="str">
        <x:v>期待結果</x:v>
      </x:c>
      <x:c r="G27" s="9" t="str">
        <x:v>期待メッセージ</x:v>
      </x:c>
      <x:c r="H27" s="9" t="str">
        <x:v>テスト結果</x:v>
      </x:c>
      <x:c r="I27" s="9" t="str">
        <x:v>実施者</x:v>
      </x:c>
      <x:c r="J27" s="9" t="str">
        <x:v>実施日</x:v>
      </x:c>
      <x:c r="K27" s="9" t="str">
        <x:v>不具合内容</x:v>
      </x:c>
      <x:c r="L27" s="9" t="str">
        <x:v>再テスト結果</x:v>
      </x:c>
      <x:c r="M27" s="9" t="str">
        <x:v>再テスト実施者</x:v>
      </x:c>
      <x:c r="N27" s="9" t="str">
        <x:v>再テスト実施日</x:v>
      </x:c>
      <x:c r="O27" s="9" t="str">
        <x:v>最終判定</x:v>
      </x:c>
      <x:c r="P27" s="9" t="str">
        <x:v>備考／根拠</x:v>
      </x:c>
    </x:row>
    <x:row r="28">
      <x:c r="A28" s="3"/>
      <x:c r="B28" s="3"/>
      <x:c r="C28" s="3"/>
      <x:c r="D28" s="3"/>
      <x:c r="E28" s="3"/>
      <x:c r="F28" s="3"/>
      <x:c r="G28" s="3"/>
      <x:c r="H28" s="3"/>
      <x:c r="I28" s="3"/>
      <x:c r="J28" s="3"/>
      <x:c r="K28" s="3"/>
      <x:c r="L28" s="3"/>
      <x:c r="M28" s="3"/>
      <x:c r="N28" s="3"/>
      <x:c r="O28" s="3"/>
      <x:c r="P28" s="3"/>
    </x:row>
    <x:row r="29" ht="78" customHeight="1">
      <x:c r="A29" s="10" t="str">
        <x:v>3002P-1</x:v>
      </x:c>
      <x:c r="B29" s="10" t="str">
        <x:v>出力起点</x:v>
      </x:c>
      <x:c r="C29" s="10" t="str">
        <x:v>定期点検DB登録データ：Web画面から帳票を取得する</x:v>
      </x:c>
      <x:c r="D29" s="10" t="str">
        <x:v>【前提条件】
・共通の前提のとおり。</x:v>
      </x:c>
      <x:c r="E29" s="10" t="str">
        <x:v>1. 本章の前提を準備する。
2. 保守点検出力指示（MCM3003U）で「ＤＢ登録用データ」を実施する。
3. W01に従いダウンロード履歴と取得ファイル名を確認する。
4. 対象ファイルを手動で開く。</x:v>
      </x:c>
      <x:c r="F29" s="10" t="str">
        <x:v>出力対象がある正常条件で、対象帳票を取得でき、Excelで開ける。ダウンロード名：{開始YYYYMM}_{終了YYYYMM}_全件_定期点検DB登録データ.xls／{対象日付範囲}_差分_定期点検DB登録データ.xls。拡張子とブック形式が一致し、Excelの形式不一致警告が出ない。Excel自動起動・ネイティブ保存画面は必須ではない。</x:v>
      </x:c>
      <x:c r="G29" s="10" t="str">
        <x:v>－</x:v>
      </x:c>
      <x:c r="H29" s="10"/>
      <x:c r="I29" s="10"/>
      <x:c r="J29" s="13"/>
      <x:c r="K29" s="10"/>
      <x:c r="L29" s="10"/>
      <x:c r="M29" s="10"/>
      <x:c r="N29" s="13"/>
      <x:c r="O29" s="10" t="str">
        <x:f>IF(L29&lt;&gt;"",L29,IF(H29="","未実施",H29))</x:f>
        <x:v>未実施</x:v>
      </x:c>
      <x:c r="P29" s="10" t="str">
        <x:v>Web根拠：Mcm3003uExcelService.java／Mcm3003uController.java。VB比較対象：Mcm3002pExcel.vb・Constant.vbと起動元画面。対応する機能条件は末尾の根拠一覧参照。</x:v>
      </x:c>
    </x:row>
    <x:row r="30" ht="64" customHeight="1">
      <x:c r="A30" s="10" t="str">
        <x:v>3002P-2</x:v>
      </x:c>
      <x:c r="B30" s="10" t="str">
        <x:v>出力起点</x:v>
      </x:c>
      <x:c r="C30" s="10" t="str">
        <x:v>Web取得操作：ブラウザの保存をキャンセルする</x:v>
      </x:c>
      <x:c r="D30" s="10" t="str">
        <x:v>【前提条件】
・共通の前提のとおり。
・保存先に指定するフォルダに、定期点検DB登録データのファイルがない。</x:v>
      </x:c>
      <x:c r="E30" s="10" t="str">
        <x:v>1. 本章の正常条件で出力する。
2. ブラウザ設定を「保存先を毎回確認」にし、保存をキャンセルする。
3. ダウンロード履歴・保存先・発行元の状態を確認する。</x:v>
      </x:c>
      <x:c r="F30" s="10" t="str">
        <x:v>キャンセルしたファイルが利用者PCに保存されない。Excelの自動起動は要求しない。ブラウザのキャンセルはアプリの発行取消ではなく、先に完了した登録・状態変更を戻さない。再取得の可否は各帳票の再発行条件に従う。</x:v>
      </x:c>
      <x:c r="G30" s="10" t="str">
        <x:v>－</x:v>
      </x:c>
      <x:c r="H30" s="10"/>
      <x:c r="I30" s="10"/>
      <x:c r="J30" s="13"/>
      <x:c r="K30" s="10"/>
      <x:c r="L30" s="10"/>
      <x:c r="M30" s="10"/>
      <x:c r="N30" s="13"/>
      <x:c r="O30" s="10" t="str">
        <x:f>IF(L30&lt;&gt;"",L30,IF(H30="","未実施",H30))</x:f>
        <x:v>未実施</x:v>
      </x:c>
      <x:c r="P30" s="10" t="str">
        <x:v>W02。2001Pは発行処理の確認取消（2001P-40）と区別。3001P／3005Pは同一ZIPの取得取消であり、帳票別の保存ダイアログはない。</x:v>
      </x:c>
    </x:row>
    <x:row r="31" ht="134" customHeight="1">
      <x:c r="A31" s="10" t="str">
        <x:v>3002P-3</x:v>
      </x:c>
      <x:c r="B31" s="10" t="str">
        <x:v>出力起点</x:v>
      </x:c>
      <x:c r="C31" s="10" t="str">
        <x:v>MCM3003U：全件出力で、点検対象月の開始と終了が異なる場合のダウンロードファイル名</x:v>
      </x:c>
      <x:c r="D31" s="10" t="str">
        <x:v>【前提条件】
・共通の前提のとおり。</x:v>
      </x:c>
      <x:c r="E31" s="10" t="str">
        <x:v>1. メニュー(MCM0001U)で「保守点検出力指示」ボタンを押下し、MCM3003Uを表示する。
2. 「点検対象月」の開始に「2026/10」、終了に「2026/12」を入力する。
3. 「全件出力」を選択する。
4. 「ＤＢ登録用データ」ボタンを押下する。
5. 共通手順W01に従い対象ファイルを取得し、Excelで開いて本ケースの期待結果を確認する。異常系はファイルが取得されないことを確認する。</x:v>
      </x:c>
      <x:c r="F31" s="10" t="str">
        <x:v>1. ダウンロードファイル名が「202610_202612_全件_定期点検DB登録データ.xls」になっている。
※検索結果が1件もない期間の場合は、取得処理でメッセージが出る（3002P-20）。その場合は、点検データがある期間を使う。</x:v>
      </x:c>
      <x:c r="G31" s="10" t="str">
        <x:v>－</x:v>
      </x:c>
      <x:c r="H31" s="10"/>
      <x:c r="I31" s="10"/>
      <x:c r="J31" s="13"/>
      <x:c r="K31" s="10"/>
      <x:c r="L31" s="10"/>
      <x:c r="M31" s="10"/>
      <x:c r="N31" s="13"/>
      <x:c r="O31" s="10" t="str">
        <x:f>IF(L31&lt;&gt;"",L31,IF(H31="","未実施",H31))</x:f>
        <x:v>未実施</x:v>
      </x:c>
      <x:c r="P31" s="10" t="str">
        <x:v>Web根拠：Mcm3003uExcelService.java／Mcm3003uController.java。VB比較対象：Mcm3002pExcel.vb・Constant.vbと起動元画面。対応する機能条件は末尾の根拠一覧参照。</x:v>
      </x:c>
    </x:row>
    <x:row r="32" ht="148" customHeight="1">
      <x:c r="A32" s="10" t="str">
        <x:v>3002P-4</x:v>
      </x:c>
      <x:c r="B32" s="10" t="str">
        <x:v>出力起点</x:v>
      </x:c>
      <x:c r="C32" s="10" t="str">
        <x:v>MCM3003U：差分出力で、出力対象日付の開始と終了を入力した場合のダウンロードファイル名</x:v>
      </x:c>
      <x:c r="D32" s="10" t="str">
        <x:v>【前提条件】
・共通の前提のとおり。
・ON日付が2026/10/01〜2026/10/31の間にある点検データがある。</x:v>
      </x:c>
      <x:c r="E32" s="10" t="str">
        <x:v>1. メニュー(MCM0001U)で「保守点検出力指示」ボタンを押下し、MCM3003Uを表示する。
2. 「点検対象月」の開始と終了に、対象期間の月を入力する。
3. 「差分出力」を選択する。
4. 「出力対象日付」の開始に「2026/10/01」、終了に「2026/10/31」を入力する。
5. 「ＤＢ登録用データ」ボタンを押下する。
6. 共通手順W01に従い対象ファイルを取得し、Excelで開いて本ケースの期待結果を確認する。異常系はファイルが取得されないことを確認する。</x:v>
      </x:c>
      <x:c r="F32" s="10" t="str">
        <x:v>1. ダウンロードファイル名が「20261001_20261031_差分_定期点検DB登録データ.xls」になっている（出力対象日付の開始の「/」を除いた8桁、「_」、終了の8桁、「_差分」、「_定期点検DB登録データ.xls」の順）。
2. 「点検対象月」の値はファイル名に含まれない。</x:v>
      </x:c>
      <x:c r="G32" s="10" t="str">
        <x:v>－</x:v>
      </x:c>
      <x:c r="H32" s="10"/>
      <x:c r="I32" s="10"/>
      <x:c r="J32" s="13"/>
      <x:c r="K32" s="10"/>
      <x:c r="L32" s="10"/>
      <x:c r="M32" s="10"/>
      <x:c r="N32" s="13"/>
      <x:c r="O32" s="10" t="str">
        <x:f>IF(L32&lt;&gt;"",L32,IF(H32="","未実施",H32))</x:f>
        <x:v>未実施</x:v>
      </x:c>
      <x:c r="P32" s="10" t="str">
        <x:v>Web根拠：Mcm3003uExcelService.java／Mcm3003uController.java。VB比較対象：Mcm3002pExcel.vb・Constant.vbと起動元画面。対応する機能条件は末尾の根拠一覧参照。</x:v>
      </x:c>
    </x:row>
    <x:row r="33" ht="148" customHeight="1">
      <x:c r="A33" s="10" t="str">
        <x:v>3002P-5</x:v>
      </x:c>
      <x:c r="B33" s="10" t="str">
        <x:v>出力起点</x:v>
      </x:c>
      <x:c r="C33" s="10" t="str">
        <x:v>MCM3003U：差分出力で、出力対象日付の開始だけを入力した場合のダウンロードファイル名</x:v>
      </x:c>
      <x:c r="D33" s="10" t="str">
        <x:v>【前提条件】
・共通の前提のとおり。
・ON日付が2026/10/01以降にある点検データがある。</x:v>
      </x:c>
      <x:c r="E33" s="10" t="str">
        <x:v>1. メニュー(MCM0001U)で「保守点検出力指示」ボタンを押下し、MCM3003Uを表示する。
2. 「点検対象月」の開始と終了に、対象期間の月を入力する。
3. 「差分出力」を選択する。
4. 「出力対象日付」の開始に「2026/10/01」を入力し、終了は空のままにする。
5. 「ＤＢ登録用データ」ボタンを押下する。
6. 共通手順W01に従い対象ファイルを取得し、Excelで開いて本ケースの期待結果を確認する。異常系はファイルが取得されないことを確認する。</x:v>
      </x:c>
      <x:c r="F33" s="10" t="str">
        <x:v>1. ダウンロードファイル名が「20261001_差分_定期点検DB登録データ.xls」になっている。</x:v>
      </x:c>
      <x:c r="G33" s="10" t="str">
        <x:v>－</x:v>
      </x:c>
      <x:c r="H33" s="10"/>
      <x:c r="I33" s="10"/>
      <x:c r="J33" s="13"/>
      <x:c r="K33" s="10"/>
      <x:c r="L33" s="10"/>
      <x:c r="M33" s="10"/>
      <x:c r="N33" s="13"/>
      <x:c r="O33" s="10" t="str">
        <x:f>IF(L33&lt;&gt;"",L33,IF(H33="","未実施",H33))</x:f>
        <x:v>未実施</x:v>
      </x:c>
      <x:c r="P33" s="10" t="str">
        <x:v>Web根拠：Mcm3003uExcelService.java／Mcm3003uController.java。VB比較対象：Mcm3002pExcel.vb・Constant.vbと起動元画面。対応する機能条件は末尾の根拠一覧参照。</x:v>
      </x:c>
    </x:row>
    <x:row r="34" ht="148" customHeight="1">
      <x:c r="A34" s="10" t="str">
        <x:v>3002P-6</x:v>
      </x:c>
      <x:c r="B34" s="10" t="str">
        <x:v>出力起点</x:v>
      </x:c>
      <x:c r="C34" s="10" t="str">
        <x:v>MCM3003U：差分出力で、出力対象日付の終了だけを入力した場合のダウンロードファイル名</x:v>
      </x:c>
      <x:c r="D34" s="10" t="str">
        <x:v>【前提条件】
・共通の前提のとおり。
・ON日付が2026/10/31以前にある点検データがある。</x:v>
      </x:c>
      <x:c r="E34" s="10" t="str">
        <x:v>1. メニュー(MCM0001U)で「保守点検出力指示」ボタンを押下し、MCM3003Uを表示する。
2. 「点検対象月」の開始と終了に、対象期間の月を入力する。
3. 「差分出力」を選択する。
4. 「出力対象日付」の終了に「2026/10/31」を入力し、開始は空のままにする。
5. 「ＤＢ登録用データ」ボタンを押下する。
6. 共通手順W01に従い対象ファイルを取得し、Excelで開いて本ケースの期待結果を確認する。異常系はファイルが取得されないことを確認する。</x:v>
      </x:c>
      <x:c r="F34" s="10" t="str">
        <x:v>1. ダウンロードファイル名が「20261031_差分_定期点検DB登録データ.xls」になっている。</x:v>
      </x:c>
      <x:c r="G34" s="10" t="str">
        <x:v>－</x:v>
      </x:c>
      <x:c r="H34" s="10"/>
      <x:c r="I34" s="10"/>
      <x:c r="J34" s="13"/>
      <x:c r="K34" s="10"/>
      <x:c r="L34" s="10"/>
      <x:c r="M34" s="10"/>
      <x:c r="N34" s="13"/>
      <x:c r="O34" s="10" t="str">
        <x:f>IF(L34&lt;&gt;"",L34,IF(H34="","未実施",H34))</x:f>
        <x:v>未実施</x:v>
      </x:c>
      <x:c r="P34" s="10" t="str">
        <x:v>Web根拠：Mcm3003uExcelService.java／Mcm3003uController.java。VB比較対象：Mcm3002pExcel.vb・Constant.vbと起動元画面。対応する機能条件は末尾の根拠一覧参照。</x:v>
      </x:c>
    </x:row>
    <x:row r="35" ht="162" customHeight="1">
      <x:c r="A35" s="10" t="str">
        <x:v>3002P-7</x:v>
      </x:c>
      <x:c r="B35" s="10" t="str">
        <x:v>対象の絞り込み</x:v>
      </x:c>
      <x:c r="C35" s="10" t="str">
        <x:v>定期点検DB登録データ：点検対象月の範囲（開始月〜終了月）の点検データだけが出力される</x:v>
      </x:c>
      <x:c r="D35" s="10" t="str">
        <x:v>【前提条件】
・共通の前提のとおり。
・点検月が2026/09、2026/10、2026/11、2026/12 の点検データが、それぞれ1件以上ある（同じプラントでも別のプラントでもよい）。
・各月の点検データのプラント名を控えている。</x:v>
      </x:c>
      <x:c r="E35" s="10" t="str">
        <x:v>1. メニュー(MCM0001U)で「保守点検出力指示」ボタンを押下し、MCM3003Uを表示する。
2. 「点検対象月」の開始に「2026/10」、終了に「2026/11」を入力する。
3. 「全件出力」を選択する。
4. 「ＤＢ登録用データ」ボタンを押下する。
5. 取得したファイルを手動で開いたExcelの「点検月」の列（B列）と「プラント名」の列（F列）を、全行確認する。
6. 共通手順W01に従い対象ファイルを取得し、Excelで開いて本ケースの期待結果を確認する。異常系はファイルが取得されないことを確認する。</x:v>
      </x:c>
      <x:c r="F35" s="10" t="str">
        <x:v>1. 「点検月」が2026/10と2026/11の行だけがある。
2. 点検月が2026/09、2026/12の点検データのプラント名が、Excelにない（同じプラントが別の月の行として出ている場合を除く）。
3. 開始月の月初から終了月の月末までの点検データが含まれる（2026/10の行、2026/11の行の両方がある）。</x:v>
      </x:c>
      <x:c r="G35" s="10" t="str">
        <x:v>－</x:v>
      </x:c>
      <x:c r="H35" s="10"/>
      <x:c r="I35" s="10"/>
      <x:c r="J35" s="13"/>
      <x:c r="K35" s="10"/>
      <x:c r="L35" s="10"/>
      <x:c r="M35" s="10"/>
      <x:c r="N35" s="13"/>
      <x:c r="O35" s="10" t="str">
        <x:f>IF(L35&lt;&gt;"",L35,IF(H35="","未実施",H35))</x:f>
        <x:v>未実施</x:v>
      </x:c>
      <x:c r="P35" s="10" t="str">
        <x:v>Web根拠：Mcm3003uExcelService.java／Mcm3003uController.java。VB比較対象：Mcm3002pExcel.vb・Constant.vbと起動元画面。対応する機能条件は末尾の根拠一覧参照。</x:v>
      </x:c>
    </x:row>
    <x:row r="36" ht="190" customHeight="1">
      <x:c r="A36" s="10" t="str">
        <x:v>3002P-8</x:v>
      </x:c>
      <x:c r="B36" s="10" t="str">
        <x:v>対象の絞り込み</x:v>
      </x:c>
      <x:c r="C36" s="10" t="str">
        <x:v>定期点検DB登録データ：差分出力では、出力対象日付の範囲のON日付の点検データだけが出力される</x:v>
      </x:c>
      <x:c r="D36" s="10" t="str">
        <x:v>【前提条件】
・共通の前提のとおり。
・同じ点検対象月の点検データで、ON日付が2026/10/01〜2026/10/31の範囲内のものと、範囲外のものが、それぞれ1件以上ある。【要確認：ON日付を画面で確認する方法】
・それぞれの点検データのプラント名を控えている。</x:v>
      </x:c>
      <x:c r="E36" s="10" t="str">
        <x:v>1. メニュー(MCM0001U)で「保守点検出力指示」ボタンを押下し、MCM3003Uを表示する。
2. 「点検対象月」の開始と終了に、対象の点検データがある月を入力する。
3. 「差分出力」を選択する。
4. 「出力対象日付」の開始に「2026/10/01」、終了に「2026/10/31」を入力する。
5. 「ＤＢ登録用データ」ボタンを押下する。
6. 取得したファイルを手動で開いたExcelの「プラント名」の列（F列）を全行確認する。
7. 共通手順W01に従い対象ファイルを取得し、Excelで開いて本ケースの期待結果を確認する。異常系はファイルが取得されないことを確認する。</x:v>
      </x:c>
      <x:c r="F36" s="10" t="str">
        <x:v>1. ON日付が範囲内の点検データのプラント名が、Excelにある。
2. ON日付が範囲外の点検データのプラント名が、Excelにない。
3. 範囲の両端の日（2026/10/01、2026/10/31）のON日付の点検データが含まれる。</x:v>
      </x:c>
      <x:c r="G36" s="10" t="str">
        <x:v>－</x:v>
      </x:c>
      <x:c r="H36" s="10"/>
      <x:c r="I36" s="10"/>
      <x:c r="J36" s="13"/>
      <x:c r="K36" s="10"/>
      <x:c r="L36" s="10"/>
      <x:c r="M36" s="10"/>
      <x:c r="N36" s="13"/>
      <x:c r="O36" s="10" t="str">
        <x:f>IF(L36&lt;&gt;"",L36,IF(H36="","未実施",H36))</x:f>
        <x:v>未実施</x:v>
      </x:c>
      <x:c r="P36" s="10" t="str">
        <x:v>Web根拠：Mcm3003uExcelService.java／Mcm3003uController.java。VB比較対象：Mcm3002pExcel.vb・Constant.vbと起動元画面。対応する機能条件は末尾の根拠一覧参照。</x:v>
      </x:c>
    </x:row>
    <x:row r="37" ht="190" customHeight="1">
      <x:c r="A37" s="10" t="str">
        <x:v>3002P-9</x:v>
      </x:c>
      <x:c r="B37" s="10" t="str">
        <x:v>対象の絞り込み</x:v>
      </x:c>
      <x:c r="C37" s="10" t="str">
        <x:v>定期点検DB登録データ：全件出力では、出力対象日付に値があっても絞り込みに使われない</x:v>
      </x:c>
      <x:c r="D37" s="10" t="str">
        <x:v>【前提条件】
・共通の前提のとおり。
・同じ点検対象月の点検データで、ON日付が2026/10/01〜2026/10/31の範囲内のものと、範囲外のものが、それぞれ1件以上ある。【要確認：ON日付を画面で確認する方法】</x:v>
      </x:c>
      <x:c r="E37" s="10" t="str">
        <x:v>1. メニュー(MCM0001U)で「保守点検出力指示」ボタンを押下し、MCM3003Uを表示する。
2. 「点検対象月」の開始と終了に、対象の点検データがある月を入力する。
3. 「差分出力」を選択し、「出力対象日付」の開始に「2026/10/01」、終了に「2026/10/31」を入力する。
4. 「全件出力」を選択し直す。
5. 「ＤＢ登録用データ」ボタンを押下する。
6. 取得したファイルを手動で開いたExcelの「プラント名」の列（F列）を全行確認する。
7. 共通手順W01に従い対象ファイルを取得し、Excelで開いて本ケースの期待結果を確認する。異常系はファイルが取得されないことを確認する。</x:v>
      </x:c>
      <x:c r="F37" s="10" t="str">
        <x:v>1. ダウンロードファイル名が、「全件」のファイル名（「yyyyMM_yyyyMM_全件_定期点検DB登録データ.xls」）で、「差分」のファイル名ではない。
2. ON日付が範囲内の点検データと、範囲外の点検データの両方のプラント名が、Excelにある。</x:v>
      </x:c>
      <x:c r="G37" s="10" t="str">
        <x:v>－</x:v>
      </x:c>
      <x:c r="H37" s="10"/>
      <x:c r="I37" s="10"/>
      <x:c r="J37" s="13"/>
      <x:c r="K37" s="10"/>
      <x:c r="L37" s="10"/>
      <x:c r="M37" s="10"/>
      <x:c r="N37" s="13"/>
      <x:c r="O37" s="10" t="str">
        <x:f>IF(L37&lt;&gt;"",L37,IF(H37="","未実施",H37))</x:f>
        <x:v>未実施</x:v>
      </x:c>
      <x:c r="P37" s="10" t="str">
        <x:v>Web根拠：Mcm3003uExcelService.java／Mcm3003uController.java。VB比較対象：Mcm3002pExcel.vb・Constant.vbと起動元画面。対応する機能条件は末尾の根拠一覧参照。</x:v>
      </x:c>
    </x:row>
    <x:row r="38" ht="148" customHeight="1">
      <x:c r="A38" s="10" t="str">
        <x:v>3002P-10</x:v>
      </x:c>
      <x:c r="B38" s="10" t="str">
        <x:v>帳票レイアウト</x:v>
      </x:c>
      <x:c r="C38" s="10" t="str">
        <x:v>定期点検DB登録データ：シートの構成、見出し行、データの開始行</x:v>
      </x:c>
      <x:c r="D38" s="10" t="str">
        <x:v>【前提条件】
・共通の前提のとおり。</x:v>
      </x:c>
      <x:c r="E38" s="10" t="str">
        <x:v>1. メニュー(MCM0001U)で「保守点検出力指示」ボタンを押下し、MCM3003Uを表示する。
2. 「点検対象月」の開始と終了に、対象期間の月を入力する。
3. 「全件出力」を選択する。
4. 「ＤＢ登録用データ」ボタンを押下する。
5. 取得したファイルを手動で開いたExcelで、シートの数とシート名、1行目と2行目を確認する。
6. 共通手順W01に従い対象ファイルを取得し、Excelで開いて本ケースの期待結果を確認する。異常系はファイルが取得されないことを確認する。</x:v>
      </x:c>
      <x:c r="F38" s="10" t="str">
        <x:v>シート「定期点検DB登録データ」、1行目に見出し、2行目からデータ。A〜Kは原紙の「５件以上フラグ」「点検日」「アポイント」「納入先名」「工場名」「システム名」「担当工営」「ユーザーシステムコード」「客先担当者」「客先担当部署」「客先電話番号」。L〜AYは原紙どおり機器情報8列×5組を並べる。列名・列順をDB取込仕様と照合し、追加・削除しない。</x:v>
      </x:c>
      <x:c r="G38" s="10" t="str">
        <x:v>－</x:v>
      </x:c>
      <x:c r="H38" s="10"/>
      <x:c r="I38" s="10"/>
      <x:c r="J38" s="13"/>
      <x:c r="K38" s="10"/>
      <x:c r="L38" s="10"/>
      <x:c r="M38" s="10"/>
      <x:c r="N38" s="13"/>
      <x:c r="O38" s="10" t="str">
        <x:f>IF(L38&lt;&gt;"",L38,IF(H38="","未実施",H38))</x:f>
        <x:v>未実施</x:v>
      </x:c>
      <x:c r="P38" s="10" t="str">
        <x:v>Web原紙とMcm3003uExcelServiceの横持ち5件出力。ラベルと内部データ項目名を区別。実際の取込システムとの連携はQ04。</x:v>
      </x:c>
    </x:row>
    <x:row r="39" ht="162" customHeight="1">
      <x:c r="A39" s="10" t="str">
        <x:v>3002P-11</x:v>
      </x:c>
      <x:c r="B39" s="10" t="str">
        <x:v>行の構成</x:v>
      </x:c>
      <x:c r="C39" s="10" t="str">
        <x:v>定期点検DB登録データ：プラント・点検月・点検可能曜日が異なると別の行になる</x:v>
      </x:c>
      <x:c r="D39" s="10" t="str">
        <x:v>【前提条件】
・共通の前提のとおり。
・対象期間に、次の点検データがある。
　(a) プラントAの、点検月が同じで、点検可能曜日が異なる点検データ2件
　(b) プラントAの、点検月が異なる点検データ1件
　(c) プラントBの、点検データ1件</x:v>
      </x:c>
      <x:c r="E39" s="10" t="str">
        <x:v>1. メニュー(MCM0001U)で「保守点検出力指示」ボタンを押下し、MCM3003Uを表示する。
2. 「点検対象月」の開始と終了に、前提条件の点検データがすべて含まれる期間を入力する。
3. 「全件出力」を選択する。
4. 「ＤＢ登録用データ」ボタンを押下する。
5. 取得したファイルを手動で開いたExcelの「点検月」の列（B列）と「プラント名」の列（F列）を、全行確認する。
6. 共通手順W01に従い対象ファイルを取得し、Excelで開いて本ケースの期待結果を確認する。異常系はファイルが取得されないことを確認する。</x:v>
      </x:c>
      <x:c r="F39" s="10" t="str">
        <x:v>1. プラントAの、点検月が同じで点検可能曜日が異なる2件が、別々の行になっている。
2. プラントAの、点検月が異なる1件が、さらに別の行になっている。
3. プラントBの1件が、別の行になっている。
4. 合計で、前提条件の (a)〜(c) が4行になっている。</x:v>
      </x:c>
      <x:c r="G39" s="10" t="str">
        <x:v>－</x:v>
      </x:c>
      <x:c r="H39" s="10"/>
      <x:c r="I39" s="10"/>
      <x:c r="J39" s="13"/>
      <x:c r="K39" s="10"/>
      <x:c r="L39" s="10"/>
      <x:c r="M39" s="10"/>
      <x:c r="N39" s="13"/>
      <x:c r="O39" s="10" t="str">
        <x:f>IF(L39&lt;&gt;"",L39,IF(H39="","未実施",H39))</x:f>
        <x:v>未実施</x:v>
      </x:c>
      <x:c r="P39" s="10" t="str">
        <x:v>Web根拠：Mcm3003uExcelService.java／Mcm3003uController.java。VB比較対象：Mcm3002pExcel.vb・Constant.vbと起動元画面。対応する機能条件は末尾の根拠一覧参照。</x:v>
      </x:c>
    </x:row>
    <x:row r="40" ht="162" customHeight="1">
      <x:c r="A40" s="10" t="str">
        <x:v>3002P-12</x:v>
      </x:c>
      <x:c r="B40" s="10" t="str">
        <x:v>行の構成</x:v>
      </x:c>
      <x:c r="C40" s="10" t="str">
        <x:v>定期点検DB登録データ：共通項目（点検月〜納入先電話番号）が出力される</x:v>
      </x:c>
      <x:c r="D40" s="10" t="str">
        <x:v>【前提条件】
・共通の前提のとおり。
・対象期間に、点検データがあるプラントが1つある。
・そのプラントの「納入先名」「納入先工場名」「プラント名」「店舗名」「納入先担当者」「納入先部署」「納入先電話番号」と、点検月を控えている【要確認：これらを確認できる画面】。</x:v>
      </x:c>
      <x:c r="E40" s="10" t="str">
        <x:v>1. メニュー(MCM0001U)で「保守点検出力指示」ボタンを押下し、MCM3003Uを表示する。
2. 「点検対象月」の開始と終了に、そのプラントの点検月を入力する。
3. 「全件出力」を選択する。
4. 「ＤＢ登録用データ」ボタンを押下する。
5. 取得したファイルを手動で開いたExcelで、そのプラントの行の B列〜K列を確認する。
6. 共通手順W01に従い対象ファイルを取得し、Excelで開いて本ケースの期待結果を確認する。異常系はファイルが取得されないことを確認する。</x:v>
      </x:c>
      <x:c r="F40" s="10" t="str">
        <x:v>1. B列（点検月）が、控えた点検月である（日付セルにyyyy年m月d日書式）。
2. D列（納入先名）、E列（納入先工場名）、F列（プラント名）、G列（店舗名）が、控えた値と同じである。
3. I列（納入先担当者）、J列（納入先部署）、K列（納入先電話番号）が、控えた値と同じである。</x:v>
      </x:c>
      <x:c r="G40" s="10" t="str">
        <x:v>－</x:v>
      </x:c>
      <x:c r="H40" s="10"/>
      <x:c r="I40" s="10"/>
      <x:c r="J40" s="13"/>
      <x:c r="K40" s="10"/>
      <x:c r="L40" s="10"/>
      <x:c r="M40" s="10"/>
      <x:c r="N40" s="13"/>
      <x:c r="O40" s="10" t="str">
        <x:f>IF(L40&lt;&gt;"",L40,IF(H40="","未実施",H40))</x:f>
        <x:v>未実施</x:v>
      </x:c>
      <x:c r="P40" s="10" t="str">
        <x:v>Web根拠：Mcm3003uExcelService.java／Mcm3003uController.java。VB比較対象：Mcm3002pExcel.vb・Constant.vbと起動元画面。対応する機能条件は末尾の根拠一覧参照。</x:v>
      </x:c>
    </x:row>
    <x:row r="41" ht="162" customHeight="1">
      <x:c r="A41" s="10" t="str">
        <x:v>3002P-13</x:v>
      </x:c>
      <x:c r="B41" s="10" t="str">
        <x:v>行の構成</x:v>
      </x:c>
      <x:c r="C41" s="10" t="str">
        <x:v>定期点検DB登録データ：サポートIDが「Pxx-xxxxx」の形式で出力される</x:v>
      </x:c>
      <x:c r="D41" s="10" t="str">
        <x:v>【前提条件】
・共通の前提のとおり。
・対象期間に点検データがあるプラントがあり、そのプラントの「サポートID」を、画面で控えている（例：「1234567」）。</x:v>
      </x:c>
      <x:c r="E41" s="10" t="str">
        <x:v>1. メニュー(MCM0001U)で「保守点検出力指示」ボタンを押下し、MCM3003Uを表示する。
2. 「点検対象月」の開始と終了に、そのプラントの点検月を入力する。
3. 「全件出力」を選択する。
4. 「ＤＢ登録用データ」ボタンを押下する。
5. 取得したファイルを手動で開いたExcelで、そのプラントの行の「サポートID」の列（H列）を確認する。
6. 共通手順W01に従い対象ファイルを取得し、Excelで開いて本ケースの期待結果を確認する。異常系はファイルが取得されないことを確認する。</x:v>
      </x:c>
      <x:c r="F41" s="10" t="str">
        <x:v>1. 「サポートID」が、控えたサポートIDの先頭2文字に「P」を付け、ハイフン、続く5文字を並べた形式で表示される（例：「1234567」は「P12-34567」）。
2. サポートIDが7文字に満たない場合は、後ろを「0」で補って7文字にして変換する（例：「12345」は「P12-34500」）。</x:v>
      </x:c>
      <x:c r="G41" s="10" t="str">
        <x:v>－</x:v>
      </x:c>
      <x:c r="H41" s="10"/>
      <x:c r="I41" s="10"/>
      <x:c r="J41" s="13"/>
      <x:c r="K41" s="10"/>
      <x:c r="L41" s="10"/>
      <x:c r="M41" s="10"/>
      <x:c r="N41" s="13"/>
      <x:c r="O41" s="10" t="str">
        <x:f>IF(L41&lt;&gt;"",L41,IF(H41="","未実施",H41))</x:f>
        <x:v>未実施</x:v>
      </x:c>
      <x:c r="P41" s="10" t="str">
        <x:v>Web根拠：Mcm3003uExcelService.java／Mcm3003uController.java。VB比較対象：Mcm3002pExcel.vb・Constant.vbと起動元画面。対応する機能条件は末尾の根拠一覧参照。</x:v>
      </x:c>
    </x:row>
    <x:row r="42" ht="148" customHeight="1">
      <x:c r="A42" s="10" t="str">
        <x:v>3002P-14</x:v>
      </x:c>
      <x:c r="B42" s="10" t="str">
        <x:v>行の構成</x:v>
      </x:c>
      <x:c r="C42" s="10" t="str">
        <x:v>定期点検DB登録データ：「アポイント」の列が空欄になる</x:v>
      </x:c>
      <x:c r="D42" s="10" t="str">
        <x:v>【前提条件】
・共通の前提のとおり。</x:v>
      </x:c>
      <x:c r="E42" s="10" t="str">
        <x:v>1. メニュー(MCM0001U)で「保守点検出力指示」ボタンを押下し、MCM3003Uを表示する。
2. 「点検対象月」の開始と終了に、対象期間の月を入力する。
3. 「全件出力」を選択する。
4. 「ＤＢ登録用データ」ボタンを押下する。
5. 取得したファイルを手動で開いたExcelで、「アポイント」の列（C列）を全行確認する。
6. 共通手順W01に従い対象ファイルを取得し、Excelで開いて本ケースの期待結果を確認する。異常系はファイルが取得されないことを確認する。</x:v>
      </x:c>
      <x:c r="F42" s="10" t="str">
        <x:v>アポイント列は全行空欄。文字nullや前の出力の値を持ち越さない。</x:v>
      </x:c>
      <x:c r="G42" s="10" t="str">
        <x:v>－</x:v>
      </x:c>
      <x:c r="H42" s="10"/>
      <x:c r="I42" s="10"/>
      <x:c r="J42" s="13"/>
      <x:c r="K42" s="10"/>
      <x:c r="L42" s="10"/>
      <x:c r="M42" s="10"/>
      <x:c r="N42" s="13"/>
      <x:c r="O42" s="10" t="str">
        <x:f>IF(L42&lt;&gt;"",L42,IF(H42="","未実施",H42))</x:f>
        <x:v>未実施</x:v>
      </x:c>
      <x:c r="P42" s="10" t="str">
        <x:v>Web根拠：Mcm3003uExcelService.java／Mcm3003uController.java。VB比較対象：Mcm3002pExcel.vb・Constant.vbと起動元画面。対応する機能条件は末尾の根拠一覧参照。原案に推定・実機記録項目あり。判断基準は下記訂正またはQ一覧で管理。</x:v>
      </x:c>
    </x:row>
    <x:row r="43" ht="162" customHeight="1">
      <x:c r="A43" s="10" t="str">
        <x:v>3002P-15</x:v>
      </x:c>
      <x:c r="B43" s="10" t="str">
        <x:v>機器の項目</x:v>
      </x:c>
      <x:c r="C43" s="10" t="str">
        <x:v>定期点検DB登録データ：1件目の機器の項目（ブランド名〜取引先）が出力される</x:v>
      </x:c>
      <x:c r="D43" s="10" t="str">
        <x:v>【前提条件】
・共通の前提のとおり。
・対象期間に、点検可能曜日と点検月が同じ機器が1件だけのプラントがある。
・その機器の「ブランド名」「機器品名」「保守会社名」「保守会社事業所名」「保守会社担当」「保守会社電話番号」「保守会社FAX番号」「取引先」を控えている【要確認：これらを確認できる画面】。</x:v>
      </x:c>
      <x:c r="E43" s="10" t="str">
        <x:v>1. メニュー(MCM0001U)で「保守点検出力指示」ボタンを押下し、MCM3003Uを表示する。
2. 「点検対象月」の開始と終了に、そのプラントの点検月を入力する。
3. 「全件出力」を選択する。
4. 「ＤＢ登録用データ」ボタンを押下する。
5. 取得したファイルを手動で開いたExcelで、そのプラントの行の L列〜S列を確認する。
6. 共通手順W01に従い対象ファイルを取得し、Excelで開いて本ケースの期待結果を確認する。異常系はファイルが取得されないことを確認する。</x:v>
      </x:c>
      <x:c r="F43" s="10" t="str">
        <x:v>1. L列（ブランド名）、M列（機器品名）が、控えた値と同じである。
2. N列（保守会社名）、O列（保守会社事業所名）、P列（保守会社担当）、Q列（保守会社電話番号）、R列（保守会社FAX番号）が、控えた値と同じである。
3. S列（取引先）が、控えた値と同じである。
4. T列以降（2件目以降の機器の欄）が空欄である。
5. A列（５件以上フラグ）が空欄である。</x:v>
      </x:c>
      <x:c r="G43" s="10" t="str">
        <x:v>－</x:v>
      </x:c>
      <x:c r="H43" s="10"/>
      <x:c r="I43" s="10"/>
      <x:c r="J43" s="13"/>
      <x:c r="K43" s="10"/>
      <x:c r="L43" s="10"/>
      <x:c r="M43" s="10"/>
      <x:c r="N43" s="13"/>
      <x:c r="O43" s="10" t="str">
        <x:f>IF(L43&lt;&gt;"",L43,IF(H43="","未実施",H43))</x:f>
        <x:v>未実施</x:v>
      </x:c>
      <x:c r="P43" s="10" t="str">
        <x:v>Web根拠：Mcm3003uExcelService.java／Mcm3003uController.java。VB比較対象：Mcm3002pExcel.vb・Constant.vbと起動元画面。対応する機能条件は末尾の根拠一覧参照。</x:v>
      </x:c>
    </x:row>
    <x:row r="44" ht="162" customHeight="1">
      <x:c r="A44" s="10" t="str">
        <x:v>3002P-16</x:v>
      </x:c>
      <x:c r="B44" s="10" t="str">
        <x:v>機器の項目</x:v>
      </x:c>
      <x:c r="C44" s="10" t="str">
        <x:v>定期点検DB登録データ：同じ行の機器が2〜4件の場合、右へ8列ずつずれて並ぶ</x:v>
      </x:c>
      <x:c r="D44" s="10" t="str">
        <x:v>【前提条件】
・共通の前提のとおり。
・対象期間に、プラント・点検月・点検可能曜日が同じ機器が3件あるプラントがある。
・3件の機器の「機器品名」を控えている。</x:v>
      </x:c>
      <x:c r="E44" s="10" t="str">
        <x:v>1. メニュー(MCM0001U)で「保守点検出力指示」ボタンを押下し、MCM3003Uを表示する。
2. 「点検対象月」の開始と終了に、そのプラントの点検月を入力する。
3. 「全件出力」を選択する。
4. 「ＤＢ登録用データ」ボタンを押下する。
5. 取得したファイルを手動で開いたExcelで、そのプラントの行の L列〜AI列を確認する。
6. 共通手順W01に従い対象ファイルを取得し、Excelで開いて本ケースの期待結果を確認する。異常系はファイルが取得されないことを確認する。</x:v>
      </x:c>
      <x:c r="F44" s="10" t="str">
        <x:v>1. その行に、機器の項目の欄が3つある（L〜S列、T〜AA列、AB〜AI列）。
2. 3つの欄の「機器品名」（M列、U列、AC列）に、控えた3件の機器品名が1件ずつ入っている（欠落、重複がない）。
3. AJ列以降（4件目以降の機器の欄）が空欄である。
4. 共通項目（B列〜K列）は、行の最初の機器の値が1回だけ入っている。
5. A列（５件以上フラグ）が空欄である。</x:v>
      </x:c>
      <x:c r="G44" s="10" t="str">
        <x:v>－</x:v>
      </x:c>
      <x:c r="H44" s="10"/>
      <x:c r="I44" s="10"/>
      <x:c r="J44" s="13"/>
      <x:c r="K44" s="10"/>
      <x:c r="L44" s="10"/>
      <x:c r="M44" s="10"/>
      <x:c r="N44" s="13"/>
      <x:c r="O44" s="10" t="str">
        <x:f>IF(L44&lt;&gt;"",L44,IF(H44="","未実施",H44))</x:f>
        <x:v>未実施</x:v>
      </x:c>
      <x:c r="P44" s="10" t="str">
        <x:v>Web根拠：Mcm3003uExcelService.java／Mcm3003uController.java。VB比較対象：Mcm3002pExcel.vb・Constant.vbと起動元画面。対応する機能条件は末尾の根拠一覧参照。</x:v>
      </x:c>
    </x:row>
    <x:row r="45" ht="162" customHeight="1">
      <x:c r="A45" s="10" t="str">
        <x:v>3002P-17</x:v>
      </x:c>
      <x:c r="B45" s="10" t="str">
        <x:v>機器の項目</x:v>
      </x:c>
      <x:c r="C45" s="10" t="str">
        <x:v>定期点検DB登録データ：同じ行の機器が5件になると「５件以上フラグ」に「●」が付く</x:v>
      </x:c>
      <x:c r="D45" s="10" t="str">
        <x:v>【前提条件】
・共通の前提のとおり。
・対象期間に、プラント・点検月・点検可能曜日が同じ機器がちょうど5件あるプラントがある。</x:v>
      </x:c>
      <x:c r="E45" s="10" t="str">
        <x:v>1. メニュー(MCM0001U)で「保守点検出力指示」ボタンを押下し、MCM3003Uを表示する。
2. 「点検対象月」の開始と終了に、そのプラントの点検月を入力する。
3. 「全件出力」を選択する。
4. 「ＤＢ登録用データ」ボタンを押下する。
5. 取得したファイルを手動で開いたExcelで、そのプラントの行の A列と、機器の欄（L列〜AY列）を確認する。
6. 共通手順W01に従い対象ファイルを取得し、Excelで開いて本ケースの期待結果を確認する。異常系はファイルが取得されないことを確認する。</x:v>
      </x:c>
      <x:c r="F45" s="10" t="str">
        <x:v>1. その行が1行だけで、機器の項目の欄が5つある（L〜S列、T〜AA列、AB〜AI列、AJ〜AQ列、AR〜AY列）。
2. A列（５件以上フラグ）に「●」が表示される。
3. 5つの欄の「機器品名」に、5件の機器品名が1件ずつ入っている。</x:v>
      </x:c>
      <x:c r="G45" s="10" t="str">
        <x:v>－</x:v>
      </x:c>
      <x:c r="H45" s="10"/>
      <x:c r="I45" s="10"/>
      <x:c r="J45" s="13"/>
      <x:c r="K45" s="10"/>
      <x:c r="L45" s="10"/>
      <x:c r="M45" s="10"/>
      <x:c r="N45" s="13"/>
      <x:c r="O45" s="10" t="str">
        <x:f>IF(L45&lt;&gt;"",L45,IF(H45="","未実施",H45))</x:f>
        <x:v>未実施</x:v>
      </x:c>
      <x:c r="P45" s="10" t="str">
        <x:v>Web根拠：Mcm3003uExcelService.java／Mcm3003uController.java。VB比較対象：Mcm3002pExcel.vb・Constant.vbと起動元画面。対応する機能条件は末尾の根拠一覧参照。</x:v>
      </x:c>
    </x:row>
    <x:row r="46" ht="162" customHeight="1">
      <x:c r="A46" s="10" t="str">
        <x:v>3002P-18</x:v>
      </x:c>
      <x:c r="B46" s="10" t="str">
        <x:v>機器の項目</x:v>
      </x:c>
      <x:c r="C46" s="10" t="str">
        <x:v>定期点検DB登録データ：同じ行の機器が6件以上になると、6件目から次の行になる</x:v>
      </x:c>
      <x:c r="D46" s="10" t="str">
        <x:v>【前提条件】
・共通の前提のとおり。
・対象期間に、プラント・点検月・点検可能曜日が同じ機器がちょうど6件あるプラントがある。
・6件の機器の「機器品名」を控えている。</x:v>
      </x:c>
      <x:c r="E46" s="10" t="str">
        <x:v>1. メニュー(MCM0001U)で「保守点検出力指示」ボタンを押下し、MCM3003Uを表示する。
2. 「点検対象月」の開始と終了に、そのプラントの点検月を入力する。
3. 「全件出力」を選択する。
4. 「ＤＢ登録用データ」ボタンを押下する。
5. 取得したファイルを手動で開いたExcelで、そのプラントの行と、その次の行を確認する。
6. 共通手順W01に従い対象ファイルを取得し、Excelで開いて本ケースの期待結果を確認する。異常系はファイルが取得されないことを確認する。</x:v>
      </x:c>
      <x:c r="F46" s="10" t="str">
        <x:v>1. そのプラントの行が2行ある。
2. 1行目に機器の項目の欄が5つあり、A列（５件以上フラグ）に「●」が表示される。
3. 2行目に機器の項目の欄が1つ（L〜S列）あり、A列が空欄である。
4. 2行目の共通項目（B列〜K列）が、1行目と同じ値で表示される。
5. 2つの行の「機器品名」に、控えた6件の機器品名が1件ずつ入っている（欠落、重複がない）。</x:v>
      </x:c>
      <x:c r="G46" s="10" t="str">
        <x:v>－</x:v>
      </x:c>
      <x:c r="H46" s="10"/>
      <x:c r="I46" s="10"/>
      <x:c r="J46" s="13"/>
      <x:c r="K46" s="10"/>
      <x:c r="L46" s="10"/>
      <x:c r="M46" s="10"/>
      <x:c r="N46" s="13"/>
      <x:c r="O46" s="10" t="str">
        <x:f>IF(L46&lt;&gt;"",L46,IF(H46="","未実施",H46))</x:f>
        <x:v>未実施</x:v>
      </x:c>
      <x:c r="P46" s="10" t="str">
        <x:v>Web根拠：Mcm3003uExcelService.java／Mcm3003uController.java。VB比較対象：Mcm3002pExcel.vb・Constant.vbと起動元画面。対応する機能条件は末尾の根拠一覧参照。</x:v>
      </x:c>
    </x:row>
    <x:row r="47" ht="162" customHeight="1">
      <x:c r="A47" s="10" t="str">
        <x:v>3002P-19</x:v>
      </x:c>
      <x:c r="B47" s="10" t="str">
        <x:v>並び順</x:v>
      </x:c>
      <x:c r="C47" s="10" t="str">
        <x:v>定期点検DB登録データ：行がプラント、点検月、点検可能曜日の昇順に並ぶ</x:v>
      </x:c>
      <x:c r="D47" s="10" t="str">
        <x:v>【前提条件】
・共通の前提のとおり。
・対象期間に、プラントが3つ以上あり、1つのプラントに点検月が異なる点検データがある。
・各プラントの「プラントID」の順（プラント名の順ではない）を控えている【要確認：プラントIDを画面で確認する方法】。</x:v>
      </x:c>
      <x:c r="E47" s="10" t="str">
        <x:v>1. メニュー(MCM0001U)で「保守点検出力指示」ボタンを押下し、MCM3003Uを表示する。
2. 「点検対象月」の開始と終了に、前提条件のプラントの点検月がすべて含まれる期間を入力する。
3. 「全件出力」を選択する。
4. 「ＤＢ登録用データ」ボタンを押下する。
5. 取得したファイルを手動で開いたExcelで、「プラント名」の列（F列）と「点検月」の列（B列）を上から順に確認する。
6. 共通手順W01に従い対象ファイルを取得し、Excelで開いて本ケースの期待結果を確認する。異常系はファイルが取得されないことを確認する。</x:v>
      </x:c>
      <x:c r="F47" s="10" t="str">
        <x:v>1. 同じプラントの行が、まとまって並んでいる。
2. プラントの並びが、プラントIDの昇順である。
3. 同じプラントの中で、点検月が古い月から新しい月の順に並んでいる。
4. 同じプラント・同じ点検月の中で、点検可能曜日の昇順に並んでいる。</x:v>
      </x:c>
      <x:c r="G47" s="10" t="str">
        <x:v>－</x:v>
      </x:c>
      <x:c r="H47" s="10"/>
      <x:c r="I47" s="10"/>
      <x:c r="J47" s="13"/>
      <x:c r="K47" s="10"/>
      <x:c r="L47" s="10"/>
      <x:c r="M47" s="10"/>
      <x:c r="N47" s="13"/>
      <x:c r="O47" s="10" t="str">
        <x:f>IF(L47&lt;&gt;"",L47,IF(H47="","未実施",H47))</x:f>
        <x:v>未実施</x:v>
      </x:c>
      <x:c r="P47" s="10" t="str">
        <x:v>Web根拠：Mcm3003uExcelService.java／Mcm3003uController.java。VB比較対象：Mcm3002pExcel.vb・Constant.vbと起動元画面。対応する機能条件は末尾の根拠一覧参照。</x:v>
      </x:c>
    </x:row>
    <x:row r="48" ht="148" customHeight="1">
      <x:c r="A48" s="10" t="str">
        <x:v>3002P-20</x:v>
      </x:c>
      <x:c r="B48" s="10" t="str">
        <x:v>0件</x:v>
      </x:c>
      <x:c r="C48" s="10" t="str">
        <x:v>MCM3003U：出力対象が0件のときに「ＤＢ登録用データ」を押下した場合</x:v>
      </x:c>
      <x:c r="D48" s="10" t="str">
        <x:v>【前提条件】
・点検データが1件もない期間（例：契約期間と関係のない将来の月）が分かっている。</x:v>
      </x:c>
      <x:c r="E48" s="10" t="str">
        <x:v>1. メニュー(MCM0001U)で「保守点検出力指示」ボタンを押下し、MCM3003Uを表示する。
2. 「点検対象月」の開始と終了に、点検データがない月を入力する。
3. 「全件出力」を選択する。
4. 「ＤＢ登録用データ」ボタンを押下する。
5. 表示されたメッセージの内容を確認し、「OK」を押下する。
6. 共通手順W01に従い対象ファイルを取得し、Excelで開いて本ケースの期待結果を確認する。異常系はファイルが取得されないことを確認する。</x:v>
      </x:c>
      <x:c r="F48" s="10" t="str">
        <x:v>1. メッセージ「検索結果が1件も存在しません。」をWeb画面で通知する。
2. 「OK」押下後に、帳票がダウンロードされない。
3. MCM3003U の画面が入力した状態のまま残る。</x:v>
      </x:c>
      <x:c r="G48" s="10" t="str">
        <x:v>Web画面の通知を確認する。対応する内容：検索結果が1件も存在しません。（VBのダイアログタイトル・アイコン・メッセージIDは合否対象外）</x:v>
      </x:c>
      <x:c r="H48" s="10"/>
      <x:c r="I48" s="10"/>
      <x:c r="J48" s="13"/>
      <x:c r="K48" s="10"/>
      <x:c r="L48" s="10"/>
      <x:c r="M48" s="10"/>
      <x:c r="N48" s="13"/>
      <x:c r="O48" s="10" t="str">
        <x:f>IF(L48&lt;&gt;"",L48,IF(H48="","未実施",H48))</x:f>
        <x:v>未実施</x:v>
      </x:c>
      <x:c r="P48" s="10" t="str">
        <x:v>Web根拠：Mcm3003uExcelService.java／Mcm3003uController.java。VB比較対象：Mcm3002pExcel.vb・Constant.vbと起動元画面。対応する機能条件は末尾の根拠一覧参照。</x:v>
      </x:c>
    </x:row>
    <x:row r="49" ht="134" customHeight="1">
      <x:c r="A49" s="10" t="str">
        <x:v>3002P-21</x:v>
      </x:c>
      <x:c r="B49" s="10" t="str">
        <x:v>入力</x:v>
      </x:c>
      <x:c r="C49" s="10" t="str">
        <x:v>MCM3003U：「点検対象月」の開始が未入力のまま「ＤＢ登録用データ」を押下した場合</x:v>
      </x:c>
      <x:c r="D49" s="10" t="str">
        <x:v>【前提条件】
・共通の前提のとおり。</x:v>
      </x:c>
      <x:c r="E49" s="10" t="str">
        <x:v>1. メニュー(MCM0001U)で「保守点検出力指示」ボタンを押下し、MCM3003Uを表示する。
2. 「点検対象月」の開始の入力欄を空にする（終了は初期値のままにする）。
3. 「全件出力」を選択する。
4. 「ＤＢ登録用データ」ボタンを押下する。
5. 共通手順W01に従い対象ファイルを取得し、Excelで開いて本ケースの期待結果を確認する。異常系はファイルが取得されないことを確認する。</x:v>
      </x:c>
      <x:c r="F49" s="10" t="str">
        <x:v>メッセージ「点検対象月は必ず入力してください。」をWeb画面で通知する。
その入力不備で出力を中止し、帳票・ZIPを取得させない。書式変換例外や別の0件通知が連続しない。</x:v>
      </x:c>
      <x:c r="G49" s="10" t="str">
        <x:v>Web画面の通知を確認する。対応する内容：点検対象月は必ず入力してください。（VBのダイアログタイトル・アイコン・メッセージIDは合否対象外）</x:v>
      </x:c>
      <x:c r="H49" s="10"/>
      <x:c r="I49" s="10"/>
      <x:c r="J49" s="13"/>
      <x:c r="K49" s="10"/>
      <x:c r="L49" s="10"/>
      <x:c r="M49" s="10"/>
      <x:c r="N49" s="13"/>
      <x:c r="O49" s="10" t="str">
        <x:f>IF(L49&lt;&gt;"",L49,IF(H49="","未実施",H49))</x:f>
        <x:v>未実施</x:v>
      </x:c>
      <x:c r="P49" s="10" t="str">
        <x:v>原案の「Returnがないので処理が続く」は訂正。VB共通の末尾E通知は例外で中止。Webの必須・書式検査で同じ不備を止める。</x:v>
      </x:c>
    </x:row>
    <x:row r="50" ht="134" customHeight="1">
      <x:c r="A50" s="10" t="str">
        <x:v>3002P-22</x:v>
      </x:c>
      <x:c r="B50" s="10" t="str">
        <x:v>入力</x:v>
      </x:c>
      <x:c r="C50" s="10" t="str">
        <x:v>MCM3003U：「点検対象月」の書式が誤っている場合</x:v>
      </x:c>
      <x:c r="D50" s="10" t="str">
        <x:v>【前提条件】
・共通の前提のとおり。</x:v>
      </x:c>
      <x:c r="E50" s="10" t="str">
        <x:v>1. メニュー(MCM0001U)で「保守点検出力指示」ボタンを押下し、MCM3003Uを表示する。
2. 「点検対象月」の開始に「2026/13」を入力し、終了は初期値のままにする。
3. 「全件出力」を選択する。
4. 「ＤＢ登録用データ」ボタンを押下する。
5. 共通手順W01に従い対象ファイルを取得し、Excelで開いて本ケースの期待結果を確認する。異常系はファイルが取得されないことを確認する。</x:v>
      </x:c>
      <x:c r="F50" s="10" t="str">
        <x:v>点検対象月はYYYY/MMで書式を入力してください。をWeb画面で通知して処理を中止し、ファイルを取得させない。</x:v>
      </x:c>
      <x:c r="G50" s="10" t="str">
        <x:v>点検対象月はYYYY/MMで書式を入力してください。</x:v>
      </x:c>
      <x:c r="H50" s="10"/>
      <x:c r="I50" s="10"/>
      <x:c r="J50" s="13"/>
      <x:c r="K50" s="10"/>
      <x:c r="L50" s="10"/>
      <x:c r="M50" s="10"/>
      <x:c r="N50" s="13"/>
      <x:c r="O50" s="10" t="str">
        <x:f>IF(L50&lt;&gt;"",L50,IF(H50="","未実施",H50))</x:f>
        <x:v>未実施</x:v>
      </x:c>
      <x:c r="P50" s="10" t="str">
        <x:v>原案の「Returnがないので処理が続く」は訂正。VB共通の末尾E通知は例外で中止。Webの必須・書式検査で同じ不備を止める。</x:v>
      </x:c>
    </x:row>
    <x:row r="51" ht="134" customHeight="1">
      <x:c r="A51" s="10" t="str">
        <x:v>3002P-23</x:v>
      </x:c>
      <x:c r="B51" s="10" t="str">
        <x:v>入力</x:v>
      </x:c>
      <x:c r="C51" s="10" t="str">
        <x:v>MCM3003U：差分出力で、出力対象日付が開始・終了とも未入力のまま「ＤＢ登録用データ」を押下した場合</x:v>
      </x:c>
      <x:c r="D51" s="10" t="str">
        <x:v>【前提条件】
・共通の前提のとおり。</x:v>
      </x:c>
      <x:c r="E51" s="10" t="str">
        <x:v>1. メニュー(MCM0001U)で「保守点検出力指示」ボタンを押下し、MCM3003Uを表示する。
2. 「点検対象月」の開始と終了に、対象期間の月を入力する。
3. 「差分出力」を選択し、「出力対象日付」の開始と終了を空のままにする。
4. 「ＤＢ登録用データ」ボタンを押下する。
5. 共通手順W01に従い対象ファイルを取得し、Excelで開いて本ケースの期待結果を確認する。異常系はファイルが取得されないことを確認する。</x:v>
      </x:c>
      <x:c r="F51" s="10" t="str">
        <x:v>メッセージ「出力対象日付は必ず入力してください。」をWeb画面で通知する。
その入力不備で出力を中止し、帳票・ZIPを取得させない。書式変換例外や別の0件通知が連続しない。</x:v>
      </x:c>
      <x:c r="G51" s="10" t="str">
        <x:v>Web画面の通知を確認する。対応する内容：出力対象日付は必ず入力してください。（VBのダイアログタイトル・アイコン・メッセージIDは合否対象外）</x:v>
      </x:c>
      <x:c r="H51" s="10"/>
      <x:c r="I51" s="10"/>
      <x:c r="J51" s="13"/>
      <x:c r="K51" s="10"/>
      <x:c r="L51" s="10"/>
      <x:c r="M51" s="10"/>
      <x:c r="N51" s="13"/>
      <x:c r="O51" s="10" t="str">
        <x:f>IF(L51&lt;&gt;"",L51,IF(H51="","未実施",H51))</x:f>
        <x:v>未実施</x:v>
      </x:c>
      <x:c r="P51" s="10" t="str">
        <x:v>原案の「Returnがないので処理が続く」は訂正。VB共通の末尾E通知は例外で中止。Webの必須・書式検査で同じ不備を止める。</x:v>
      </x:c>
    </x:row>
    <x:row r="52" ht="134" customHeight="1">
      <x:c r="A52" s="10" t="str">
        <x:v>3002P-24</x:v>
      </x:c>
      <x:c r="B52" s="10" t="str">
        <x:v>入力</x:v>
      </x:c>
      <x:c r="C52" s="10" t="str">
        <x:v>MCM3003U：差分出力で、出力対象日付の書式が誤っている場合</x:v>
      </x:c>
      <x:c r="D52" s="10" t="str">
        <x:v>【前提条件】
・共通の前提のとおり。</x:v>
      </x:c>
      <x:c r="E52" s="10" t="str">
        <x:v>1. メニュー(MCM0001U)で「保守点検出力指示」ボタンを押下し、MCM3003Uを表示する。
2. 「点検対象月」の開始と終了に、対象期間の月を入力する。
3. 「差分出力」を選択し、「出力対象日付」の開始に「2026/10/32」を入力する。
4. 「ＤＢ登録用データ」ボタンを押下する。
5. 共通手順W01に従い対象ファイルを取得し、Excelで開いて本ケースの期待結果を確認する。異常系はファイルが取得されないことを確認する。</x:v>
      </x:c>
      <x:c r="F52" s="10" t="str">
        <x:v>出力対象日付はYYYY/MM/DDで書式を入力してください。をWeb画面で通知して処理を中止し、ファイルを取得させない。</x:v>
      </x:c>
      <x:c r="G52" s="10" t="str">
        <x:v>出力対象日付はYYYY/MM/DDで書式を入力してください。</x:v>
      </x:c>
      <x:c r="H52" s="10"/>
      <x:c r="I52" s="10"/>
      <x:c r="J52" s="13"/>
      <x:c r="K52" s="10"/>
      <x:c r="L52" s="10"/>
      <x:c r="M52" s="10"/>
      <x:c r="N52" s="13"/>
      <x:c r="O52" s="10" t="str">
        <x:f>IF(L52&lt;&gt;"",L52,IF(H52="","未実施",H52))</x:f>
        <x:v>未実施</x:v>
      </x:c>
      <x:c r="P52" s="10" t="str">
        <x:v>原案の「Returnがないので処理が続く」は訂正。VB共通の末尾E通知は例外で中止。Webの必須・書式検査で同じ不備を止める。</x:v>
      </x:c>
    </x:row>
    <x:row r="53" ht="148" customHeight="1">
      <x:c r="A53" s="10" t="str">
        <x:v>3002P-25</x:v>
      </x:c>
      <x:c r="B53" s="10" t="str">
        <x:v>権限</x:v>
      </x:c>
      <x:c r="C53" s="10" t="str">
        <x:v>MCM3003U(保守点検出力指示)：参照のみ権限のユーザーでも「ＤＢ登録用データ」が押下できる</x:v>
      </x:c>
      <x:c r="D53" s="10" t="str">
        <x:v>【前提条件】
・ログインユーザーの「保守点検出力指示」の画面権限が「参照」である。【要確認：参照権限のユーザーの用意】
・共通の前提のとおり。</x:v>
      </x:c>
      <x:c r="E53" s="10" t="str">
        <x:v>1. 参照権限のユーザーでログインし、メニュー(MCM0001U)で「保守点検出力指示」ボタンを押下し、MCM3003Uを表示する。
2. 「点検対象月」の開始と終了に、対象期間の月を入力し、「全件出力」を選択する。
3. 「ＤＢ登録用データ」ボタンの状態（押下できるか、グレー表示か）を確認する。
4. 「ＤＢ登録用データ」ボタンを押下する。
5. 共通手順W01に従い対象ファイルを取得し、Excelで開いて本ケースの期待結果を確認する。異常系はファイルが取得されないことを確認する。</x:v>
      </x:c>
      <x:c r="F53" s="10" t="str">
        <x:v>1. 「ＤＢ登録用データ」ボタンが活性（押下できる状態）である。
2. ボタンの押下で、帳票をダウンロードできる。</x:v>
      </x:c>
      <x:c r="G53" s="10" t="str">
        <x:v>－</x:v>
      </x:c>
      <x:c r="H53" s="10"/>
      <x:c r="I53" s="10"/>
      <x:c r="J53" s="13"/>
      <x:c r="K53" s="10"/>
      <x:c r="L53" s="10"/>
      <x:c r="M53" s="10"/>
      <x:c r="N53" s="13"/>
      <x:c r="O53" s="10" t="str">
        <x:f>IF(L53&lt;&gt;"",L53,IF(H53="","未実施",H53))</x:f>
        <x:v>未実施</x:v>
      </x:c>
      <x:c r="P53" s="10" t="str">
        <x:v>Web根拠：Mcm3003uExcelService.java／Mcm3003uController.java。VB比較対象：Mcm3002pExcel.vb・Constant.vbと起動元画面。対応する機能条件は末尾の根拠一覧参照。</x:v>
      </x:c>
    </x:row>
    <x:row r="54" ht="45" customHeight="1">
      <x:c r="A54" s="10" t="str">
        <x:v>3002P-26</x:v>
      </x:c>
      <x:c r="B54" s="10" t="str">
        <x:v>追加／境界</x:v>
      </x:c>
      <x:c r="C54" s="10" t="str">
        <x:v>開始・終了の日付時刻境界</x:v>
      </x:c>
      <x:c r="D54" s="10" t="str">
        <x:v>差分開始日の00:00、終了日の23:59:59、翌日00:00にON日付を持つ対象を準備。</x:v>
      </x:c>
      <x:c r="E54" s="10" t="str">
        <x:v>差分出力で当日範囲を指定。</x:v>
      </x:c>
      <x:c r="F54" s="10" t="str">
        <x:v>開始日と終了日内は含み、翌日は含まない。時刻付きデータの終了日欠落がない。</x:v>
      </x:c>
      <x:c r="G54" s="10" t="str">
        <x:v>－</x:v>
      </x:c>
      <x:c r="H54" s="10"/>
      <x:c r="I54" s="10"/>
      <x:c r="J54" s="13"/>
      <x:c r="K54" s="10"/>
      <x:c r="L54" s="10"/>
      <x:c r="M54" s="10"/>
      <x:c r="N54" s="13"/>
      <x:c r="O54" s="10" t="str">
        <x:f>IF(L54&lt;&gt;"",L54,IF(H54="","未実施",H54))</x:f>
        <x:v>未実施</x:v>
      </x:c>
      <x:c r="P54" s="10" t="str">
        <x:v>追加観点。Web根拠一覧参照。</x:v>
      </x:c>
    </x:row>
    <x:row r="55" ht="45" customHeight="1">
      <x:c r="A55" s="10" t="str">
        <x:v>3002P-27</x:v>
      </x:c>
      <x:c r="B55" s="10" t="str">
        <x:v>追加／境界</x:v>
      </x:c>
      <x:c r="C55" s="10" t="str">
        <x:v>点検対象月の終了未入力と実在日付</x:v>
      </x:c>
      <x:c r="D55" s="10" t="str">
        <x:v>終了月空欄、2026/13、差分2026/02/30を別々に入力。</x:v>
      </x:c>
      <x:c r="E55" s="10" t="str">
        <x:v>DB登録用出力を実行。</x:v>
      </x:c>
      <x:c r="F55" s="10" t="str">
        <x:v>不足・不正日付を通知し、帳票を返さない。年月・日付の数字形式だけで不正日付を通さない。</x:v>
      </x:c>
      <x:c r="G55" s="10" t="str">
        <x:v>－</x:v>
      </x:c>
      <x:c r="H55" s="10"/>
      <x:c r="I55" s="10"/>
      <x:c r="J55" s="13"/>
      <x:c r="K55" s="10"/>
      <x:c r="L55" s="10"/>
      <x:c r="M55" s="10"/>
      <x:c r="N55" s="13"/>
      <x:c r="O55" s="10" t="str">
        <x:f>IF(L55&lt;&gt;"",L55,IF(H55="","未実施",H55))</x:f>
        <x:v>未実施</x:v>
      </x:c>
      <x:c r="P55" s="10" t="str">
        <x:v>追加観点。Web根拠一覧参照。</x:v>
      </x:c>
    </x:row>
    <x:row r="56" ht="50" customHeight="1">
      <x:c r="A56" s="10" t="str">
        <x:v>3002P-28</x:v>
      </x:c>
      <x:c r="B56" s="10" t="str">
        <x:v>追加／境界</x:v>
      </x:c>
      <x:c r="C56" s="10" t="str">
        <x:v>横持ちの10件・11件における端数行境界</x:v>
      </x:c>
      <x:c r="D56" s="10" t="str">
        <x:v>同一プラント・点検月・曜日の機器が10件と11件の2対象を準備。5／6件は3002P-17／18で確認済み。</x:v>
      </x:c>
      <x:c r="E56" s="10" t="str">
        <x:v>各対象を出力し、元機器キーと2行目・3行目の割当を照合。</x:v>
      </x:c>
      <x:c r="F56" s="10" t="str">
        <x:v>10件は5件＋5件の2行、11件は5件＋5件＋1件の3行。5件が埋まる行は●、1件の端数行は●なし。10→11件で最終機器の欠落・重複がない。</x:v>
      </x:c>
      <x:c r="G56" s="10" t="str">
        <x:v>－</x:v>
      </x:c>
      <x:c r="H56" s="10"/>
      <x:c r="I56" s="10"/>
      <x:c r="J56" s="13"/>
      <x:c r="K56" s="10"/>
      <x:c r="L56" s="10"/>
      <x:c r="M56" s="10"/>
      <x:c r="N56" s="13"/>
      <x:c r="O56" s="10" t="str">
        <x:f>IF(L56&lt;&gt;"",L56,IF(H56="","未実施",H56))</x:f>
        <x:v>未実施</x:v>
      </x:c>
      <x:c r="P56" s="10" t="str">
        <x:v>5件フラグ・6件折返しは既存17／18、グループキー変更は11へ分担。ここは2回目以降の折返しと端数のみ。</x:v>
      </x:c>
    </x:row>
  </x:sheetData>
  <x:mergeCells>
    <x:mergeCell ref="A1:P1"/>
    <x:mergeCell ref="A3:C3"/>
    <x:mergeCell ref="D3:P3"/>
    <x:mergeCell ref="A4:C4"/>
    <x:mergeCell ref="D4:P4"/>
    <x:mergeCell ref="A6:P6"/>
    <x:mergeCell ref="A7:C7"/>
    <x:mergeCell ref="D7:P7"/>
    <x:mergeCell ref="A8:C8"/>
    <x:mergeCell ref="D8:P8"/>
    <x:mergeCell ref="A9:C9"/>
    <x:mergeCell ref="D9:P9"/>
    <x:mergeCell ref="A10:C10"/>
    <x:mergeCell ref="D10:P10"/>
    <x:mergeCell ref="A14:P14"/>
    <x:mergeCell ref="A16:C16"/>
    <x:mergeCell ref="D16:P16"/>
    <x:mergeCell ref="A17:C17"/>
    <x:mergeCell ref="D17:P17"/>
    <x:mergeCell ref="A18:C18"/>
    <x:mergeCell ref="D18:P18"/>
    <x:mergeCell ref="A20:C20"/>
    <x:mergeCell ref="D20:P20"/>
    <x:mergeCell ref="A26:P26"/>
  </x:mergeCells>
  <x:dataValidations count="2">
    <x:dataValidation type="list" sqref="H29:H56">
      <x:formula1>"未実施,OK,NG,保留,対象外"</x:formula1>
    </x:dataValidation>
    <x:dataValidation type="list" sqref="L29:L56">
      <x:formula1>"未実施,OK,NG,保留,対象外"</x:formula1>
    </x:dataValidation>
  </x:dataValidations>
  <x:pageMargins left="0.7" right="0.7" top="0.75" bottom="0.75" header="0.3" footer="0.3"/>
</x:worksheet>
</file>

<file path=xl/worksheets/sheet12.xml><?xml version="1.0" encoding="utf-8"?>
<x:worksheet xmlns:x="http://schemas.openxmlformats.org/spreadsheetml/2006/main">
  <x:sheetViews>
    <x:sheetView showGridLines="0" workbookViewId="0">
      <x:pane ySplit="27" topLeftCell="A28" activePane="bottomLeft" state="frozen"/>
    </x:sheetView>
  </x:sheetViews>
  <x:sheetFormatPr defaultRowHeight="15"/>
  <x:cols>
    <x:col min="1" max="1" width="13" hidden="0" customWidth="1"/>
    <x:col min="2" max="2" width="14" hidden="0" customWidth="1"/>
    <x:col min="3" max="3" width="44" hidden="0" customWidth="1"/>
    <x:col min="4" max="4" width="52" hidden="0" customWidth="1"/>
    <x:col min="5" max="5" width="60" hidden="0" customWidth="1"/>
    <x:col min="6" max="6" width="64" hidden="0" customWidth="1"/>
    <x:col min="7" max="7" width="40" hidden="0" customWidth="1"/>
    <x:col min="8" max="8" width="12" hidden="0" customWidth="1"/>
    <x:col min="9" max="9" width="14" hidden="0" customWidth="1"/>
    <x:col min="10" max="10" width="15" hidden="0" customWidth="1"/>
    <x:col min="11" max="11" width="40" hidden="0" customWidth="1"/>
    <x:col min="12" max="12" width="14" hidden="0" customWidth="1"/>
    <x:col min="13" max="13" width="17" hidden="0" customWidth="1"/>
    <x:col min="14" max="14" width="17" hidden="0" customWidth="1"/>
    <x:col min="15" max="15" width="13" hidden="0" customWidth="1"/>
    <x:col min="16" max="16" width="54" hidden="0" customWidth="1"/>
  </x:cols>
  <x:sheetData>
    <x:row r="1" ht="26" customHeight="1">
      <x:c r="A1" s="4" t="str">
        <x:v>MCM3003P_定期点検リスト 単体テスト仕様書</x:v>
      </x:c>
      <x:c r="B1" s="4"/>
      <x:c r="C1" s="4"/>
      <x:c r="D1" s="4"/>
      <x:c r="E1" s="4"/>
      <x:c r="F1" s="4"/>
      <x:c r="G1" s="4"/>
      <x:c r="H1" s="4"/>
      <x:c r="I1" s="4"/>
      <x:c r="J1" s="4"/>
      <x:c r="K1" s="4"/>
      <x:c r="L1" s="4"/>
      <x:c r="M1" s="4"/>
      <x:c r="N1" s="4"/>
      <x:c r="O1" s="4"/>
      <x:c r="P1" s="4"/>
    </x:row>
    <x:row r="2">
      <x:c r="A2" s="3"/>
      <x:c r="B2" s="3"/>
      <x:c r="C2" s="3"/>
      <x:c r="D2" s="3"/>
      <x:c r="E2" s="3"/>
      <x:c r="F2" s="3"/>
      <x:c r="G2" s="3"/>
      <x:c r="H2" s="3"/>
      <x:c r="I2" s="3"/>
      <x:c r="J2" s="3"/>
      <x:c r="K2" s="3"/>
      <x:c r="L2" s="3"/>
      <x:c r="M2" s="3"/>
      <x:c r="N2" s="3"/>
      <x:c r="O2" s="3"/>
      <x:c r="P2" s="3"/>
    </x:row>
    <x:row r="3" ht="34" customHeight="1">
      <x:c r="A3" s="3" t="str">
        <x:v>画面情報</x:v>
      </x:c>
      <x:c r="B3" s="3"/>
      <x:c r="C3" s="3"/>
      <x:c r="D3" s="3" t="str">
        <x:v>起点：保守点検出力指示（MCM3003U）で「作業用リスト出力」。</x:v>
      </x:c>
      <x:c r="E3" s="3"/>
      <x:c r="F3" s="3"/>
      <x:c r="G3" s="3"/>
      <x:c r="H3" s="3"/>
      <x:c r="I3" s="3"/>
      <x:c r="J3" s="3"/>
      <x:c r="K3" s="3"/>
      <x:c r="L3" s="3"/>
      <x:c r="M3" s="3"/>
      <x:c r="N3" s="3"/>
      <x:c r="O3" s="3"/>
      <x:c r="P3" s="3"/>
    </x:row>
    <x:row r="4" ht="48" customHeight="1">
      <x:c r="A4" s="3" t="str">
        <x:v>出力形式・名称</x:v>
      </x:c>
      <x:c r="B4" s="3"/>
      <x:c r="C4" s="3"/>
      <x:c r="D4" s="3" t="str">
        <x:v>取得形式／名前：{開始YYYYMM}_{終了YYYYMM}_全件_定期点検リスト.xls／{対象日付範囲}_差分_定期点検リスト.xls。共通W01〜W06も実施する。</x:v>
      </x:c>
      <x:c r="E4" s="3"/>
      <x:c r="F4" s="3"/>
      <x:c r="G4" s="3"/>
      <x:c r="H4" s="3"/>
      <x:c r="I4" s="3"/>
      <x:c r="J4" s="3"/>
      <x:c r="K4" s="3"/>
      <x:c r="L4" s="3"/>
      <x:c r="M4" s="3"/>
      <x:c r="N4" s="3"/>
      <x:c r="O4" s="3"/>
      <x:c r="P4" s="3"/>
    </x:row>
    <x:row r="5">
      <x:c r="A5" s="3"/>
      <x:c r="B5" s="3"/>
      <x:c r="C5" s="3"/>
      <x:c r="D5" s="3"/>
      <x:c r="E5" s="3"/>
      <x:c r="F5" s="3"/>
      <x:c r="G5" s="3"/>
      <x:c r="H5" s="3"/>
      <x:c r="I5" s="3"/>
      <x:c r="J5" s="3"/>
      <x:c r="K5" s="3"/>
      <x:c r="L5" s="3"/>
      <x:c r="M5" s="3"/>
      <x:c r="N5" s="3"/>
      <x:c r="O5" s="3"/>
      <x:c r="P5" s="3"/>
    </x:row>
    <x:row r="6">
      <x:c r="A6" s="6" t="str">
        <x:v>根拠ソース</x:v>
      </x:c>
      <x:c r="B6" s="6" t="str">
        <x:v>根拠ソース</x:v>
      </x:c>
      <x:c r="C6" s="6" t="str">
        <x:v>根拠ソース</x:v>
      </x:c>
      <x:c r="D6" s="6" t="str">
        <x:v>根拠ソース</x:v>
      </x:c>
      <x:c r="E6" s="6" t="str">
        <x:v>根拠ソース</x:v>
      </x:c>
      <x:c r="F6" s="6" t="str">
        <x:v>根拠ソース</x:v>
      </x:c>
      <x:c r="G6" s="6" t="str">
        <x:v>根拠ソース</x:v>
      </x:c>
      <x:c r="H6" s="6" t="str">
        <x:v>根拠ソース</x:v>
      </x:c>
      <x:c r="I6" s="6" t="str">
        <x:v>根拠ソース</x:v>
      </x:c>
      <x:c r="J6" s="6" t="str">
        <x:v>根拠ソース</x:v>
      </x:c>
      <x:c r="K6" s="6" t="str">
        <x:v>根拠ソース</x:v>
      </x:c>
      <x:c r="L6" s="6" t="str">
        <x:v>根拠ソース</x:v>
      </x:c>
      <x:c r="M6" s="6" t="str">
        <x:v>根拠ソース</x:v>
      </x:c>
      <x:c r="N6" s="6" t="str">
        <x:v>根拠ソース</x:v>
      </x:c>
      <x:c r="O6" s="6" t="str">
        <x:v>根拠ソース</x:v>
      </x:c>
      <x:c r="P6" s="6" t="str">
        <x:v>根拠ソース</x:v>
      </x:c>
    </x:row>
    <x:row r="7" ht="26" customHeight="1">
      <x:c r="A7" s="3" t="str">
        <x:v>VB版</x:v>
      </x:c>
      <x:c r="B7" s="3"/>
      <x:c r="C7" s="3"/>
      <x:c r="D7" s="3" t="str">
        <x:v>帳票のExcel.vb・Constant.vb／起動元イベント。既知不具合は再現を合格にしない。</x:v>
      </x:c>
      <x:c r="E7" s="3"/>
      <x:c r="F7" s="3"/>
      <x:c r="G7" s="3"/>
      <x:c r="H7" s="3"/>
      <x:c r="I7" s="3"/>
      <x:c r="J7" s="3"/>
      <x:c r="K7" s="3"/>
      <x:c r="L7" s="3"/>
      <x:c r="M7" s="3"/>
      <x:c r="N7" s="3"/>
      <x:c r="O7" s="3"/>
      <x:c r="P7" s="3"/>
    </x:row>
    <x:row r="8" ht="26" customHeight="1">
      <x:c r="A8" s="3" t="str">
        <x:v>Java版</x:v>
      </x:c>
      <x:c r="B8" s="3"/>
      <x:c r="C8" s="3"/>
      <x:c r="D8" s="3" t="str">
        <x:v>最新Webの帳票Service・起動元Controller。本文の備考／根拠欄とMD末尾を参照。</x:v>
      </x:c>
      <x:c r="E8" s="3"/>
      <x:c r="F8" s="3"/>
      <x:c r="G8" s="3"/>
      <x:c r="H8" s="3"/>
      <x:c r="I8" s="3"/>
      <x:c r="J8" s="3"/>
      <x:c r="K8" s="3"/>
      <x:c r="L8" s="3"/>
      <x:c r="M8" s="3"/>
      <x:c r="N8" s="3"/>
      <x:c r="O8" s="3"/>
      <x:c r="P8" s="3"/>
    </x:row>
    <x:row r="9" ht="26" customHeight="1">
      <x:c r="A9" s="3" t="str">
        <x:v>メッセージ</x:v>
      </x:c>
      <x:c r="B9" s="3"/>
      <x:c r="C9" s="3"/>
      <x:c r="D9" s="3" t="str">
        <x:v>Web画面の通知で判断。VBのネイティブダイアログ・Excel自動起動を要求しない。</x:v>
      </x:c>
      <x:c r="E9" s="3"/>
      <x:c r="F9" s="3"/>
      <x:c r="G9" s="3"/>
      <x:c r="H9" s="3"/>
      <x:c r="I9" s="3"/>
      <x:c r="J9" s="3"/>
      <x:c r="K9" s="3"/>
      <x:c r="L9" s="3"/>
      <x:c r="M9" s="3"/>
      <x:c r="N9" s="3"/>
      <x:c r="O9" s="3"/>
      <x:c r="P9" s="3"/>
    </x:row>
    <x:row r="10" ht="26" customHeight="1">
      <x:c r="A10" s="3" t="str">
        <x:v>参照資料</x:v>
      </x:c>
      <x:c r="B10" s="3"/>
      <x:c r="C10" s="3"/>
      <x:c r="D10" s="3" t="str">
        <x:v>同梱MDの共通確認・F01〜F04・Q01〜Q06。正式な実機確認結果はこれから記入する。</x:v>
      </x:c>
      <x:c r="E10" s="3"/>
      <x:c r="F10" s="3"/>
      <x:c r="G10" s="3"/>
      <x:c r="H10" s="3"/>
      <x:c r="I10" s="3"/>
      <x:c r="J10" s="3"/>
      <x:c r="K10" s="3"/>
      <x:c r="L10" s="3"/>
      <x:c r="M10" s="3"/>
      <x:c r="N10" s="3"/>
      <x:c r="O10" s="3"/>
      <x:c r="P10" s="3"/>
    </x:row>
    <x:row r="11">
      <x:c r="A11" s="3"/>
      <x:c r="B11" s="3"/>
      <x:c r="C11" s="3"/>
      <x:c r="D11" s="3"/>
      <x:c r="E11" s="3"/>
      <x:c r="F11" s="3"/>
      <x:c r="G11" s="3"/>
      <x:c r="H11" s="3"/>
      <x:c r="I11" s="3"/>
      <x:c r="J11" s="3"/>
      <x:c r="K11" s="3"/>
      <x:c r="L11" s="3"/>
      <x:c r="M11" s="3"/>
      <x:c r="N11" s="3"/>
      <x:c r="O11" s="3"/>
      <x:c r="P11" s="3"/>
    </x:row>
    <x:row r="12">
      <x:c r="A12" s="3"/>
      <x:c r="B12" s="3"/>
      <x:c r="C12" s="3"/>
      <x:c r="D12" s="3"/>
      <x:c r="E12" s="3"/>
      <x:c r="F12" s="3"/>
      <x:c r="G12" s="3"/>
      <x:c r="H12" s="3"/>
      <x:c r="I12" s="3"/>
      <x:c r="J12" s="3"/>
      <x:c r="K12" s="3"/>
      <x:c r="L12" s="3"/>
      <x:c r="M12" s="3"/>
      <x:c r="N12" s="3"/>
      <x:c r="O12" s="3"/>
      <x:c r="P12" s="3"/>
    </x:row>
    <x:row r="13">
      <x:c r="A13" s="3"/>
      <x:c r="B13" s="3"/>
      <x:c r="C13" s="3"/>
      <x:c r="D13" s="3"/>
      <x:c r="E13" s="3"/>
      <x:c r="F13" s="3"/>
      <x:c r="G13" s="3"/>
      <x:c r="H13" s="3"/>
      <x:c r="I13" s="3"/>
      <x:c r="J13" s="3"/>
      <x:c r="K13" s="3"/>
      <x:c r="L13" s="3"/>
      <x:c r="M13" s="3"/>
      <x:c r="N13" s="3"/>
      <x:c r="O13" s="3"/>
      <x:c r="P13" s="3"/>
    </x:row>
    <x:row r="14">
      <x:c r="A14" s="6" t="str">
        <x:v>機能一覧</x:v>
      </x:c>
      <x:c r="B14" s="6" t="str">
        <x:v>機能一覧</x:v>
      </x:c>
      <x:c r="C14" s="6" t="str">
        <x:v>機能一覧</x:v>
      </x:c>
      <x:c r="D14" s="6" t="str">
        <x:v>機能一覧</x:v>
      </x:c>
      <x:c r="E14" s="6" t="str">
        <x:v>機能一覧</x:v>
      </x:c>
      <x:c r="F14" s="6" t="str">
        <x:v>機能一覧</x:v>
      </x:c>
      <x:c r="G14" s="6" t="str">
        <x:v>機能一覧</x:v>
      </x:c>
      <x:c r="H14" s="6" t="str">
        <x:v>機能一覧</x:v>
      </x:c>
      <x:c r="I14" s="6" t="str">
        <x:v>機能一覧</x:v>
      </x:c>
      <x:c r="J14" s="6" t="str">
        <x:v>機能一覧</x:v>
      </x:c>
      <x:c r="K14" s="6" t="str">
        <x:v>機能一覧</x:v>
      </x:c>
      <x:c r="L14" s="6" t="str">
        <x:v>機能一覧</x:v>
      </x:c>
      <x:c r="M14" s="6" t="str">
        <x:v>機能一覧</x:v>
      </x:c>
      <x:c r="N14" s="6" t="str">
        <x:v>機能一覧</x:v>
      </x:c>
      <x:c r="O14" s="6" t="str">
        <x:v>機能一覧</x:v>
      </x:c>
      <x:c r="P14" s="6" t="str">
        <x:v>機能一覧</x:v>
      </x:c>
    </x:row>
    <x:row r="15">
      <x:c r="A15" s="3"/>
      <x:c r="B15" s="3"/>
      <x:c r="C15" s="3"/>
      <x:c r="D15" s="3"/>
      <x:c r="E15" s="3"/>
      <x:c r="F15" s="3"/>
      <x:c r="G15" s="3"/>
      <x:c r="H15" s="3"/>
      <x:c r="I15" s="3"/>
      <x:c r="J15" s="3"/>
      <x:c r="K15" s="3"/>
      <x:c r="L15" s="3"/>
      <x:c r="M15" s="3"/>
      <x:c r="N15" s="3"/>
      <x:c r="O15" s="3"/>
      <x:c r="P15" s="3"/>
    </x:row>
    <x:row r="16" ht="26" customHeight="1">
      <x:c r="A16" s="3" t="str">
        <x:v>1</x:v>
      </x:c>
      <x:c r="B16" s="3"/>
      <x:c r="C16" s="3"/>
      <x:c r="D16" s="3" t="str">
        <x:v>帳票の対象・項目・シート構成・表示書式・印刷の確認</x:v>
      </x:c>
      <x:c r="E16" s="3"/>
      <x:c r="F16" s="3"/>
      <x:c r="G16" s="3"/>
      <x:c r="H16" s="3"/>
      <x:c r="I16" s="3"/>
      <x:c r="J16" s="3"/>
      <x:c r="K16" s="3"/>
      <x:c r="L16" s="3"/>
      <x:c r="M16" s="3"/>
      <x:c r="N16" s="3"/>
      <x:c r="O16" s="3"/>
      <x:c r="P16" s="3"/>
    </x:row>
    <x:row r="17" ht="26" customHeight="1">
      <x:c r="A17" s="3" t="str">
        <x:v>2</x:v>
      </x:c>
      <x:c r="B17" s="3"/>
      <x:c r="C17" s="3"/>
      <x:c r="D17" s="3" t="str">
        <x:v>0件・入力不備・権限・失敗・境界・計算条件の確認</x:v>
      </x:c>
      <x:c r="E17" s="3"/>
      <x:c r="F17" s="3"/>
      <x:c r="G17" s="3"/>
      <x:c r="H17" s="3"/>
      <x:c r="I17" s="3"/>
      <x:c r="J17" s="3"/>
      <x:c r="K17" s="3"/>
      <x:c r="L17" s="3"/>
      <x:c r="M17" s="3"/>
      <x:c r="N17" s="3"/>
      <x:c r="O17" s="3"/>
      <x:c r="P17" s="3"/>
    </x:row>
    <x:row r="18" ht="26" customHeight="1">
      <x:c r="A18" s="3" t="str">
        <x:v>3</x:v>
      </x:c>
      <x:c r="B18" s="3"/>
      <x:c r="C18" s="3"/>
      <x:c r="D18" s="3" t="str">
        <x:v>共通確認を関連ケースで実施し、重複する取得操作は再利用</x:v>
      </x:c>
      <x:c r="E18" s="3"/>
      <x:c r="F18" s="3"/>
      <x:c r="G18" s="3"/>
      <x:c r="H18" s="3"/>
      <x:c r="I18" s="3"/>
      <x:c r="J18" s="3"/>
      <x:c r="K18" s="3"/>
      <x:c r="L18" s="3"/>
      <x:c r="M18" s="3"/>
      <x:c r="N18" s="3"/>
      <x:c r="O18" s="3"/>
      <x:c r="P18" s="3"/>
    </x:row>
    <x:row r="19">
      <x:c r="A19" s="3"/>
      <x:c r="B19" s="3"/>
      <x:c r="C19" s="3"/>
      <x:c r="D19" s="3"/>
      <x:c r="E19" s="3"/>
      <x:c r="F19" s="3"/>
      <x:c r="G19" s="3"/>
      <x:c r="H19" s="3"/>
      <x:c r="I19" s="3"/>
      <x:c r="J19" s="3"/>
      <x:c r="K19" s="3"/>
      <x:c r="L19" s="3"/>
      <x:c r="M19" s="3"/>
      <x:c r="N19" s="3"/>
      <x:c r="O19" s="3"/>
      <x:c r="P19" s="3"/>
    </x:row>
    <x:row r="20" ht="30" customHeight="1">
      <x:c r="A20" s="3" t="str">
        <x:v>分類</x:v>
      </x:c>
      <x:c r="B20" s="3"/>
      <x:c r="C20" s="3"/>
      <x:c r="D20" s="3" t="str">
        <x:v>出力起点／対象の絞り込み／帳票レイアウト／行の構成／項目／並び順／書式／0件／入力／権限／追加／境界</x:v>
      </x:c>
      <x:c r="E20" s="3"/>
      <x:c r="F20" s="3"/>
      <x:c r="G20" s="3"/>
      <x:c r="H20" s="3"/>
      <x:c r="I20" s="3"/>
      <x:c r="J20" s="3"/>
      <x:c r="K20" s="3"/>
      <x:c r="L20" s="3"/>
      <x:c r="M20" s="3"/>
      <x:c r="N20" s="3"/>
      <x:c r="O20" s="3"/>
      <x:c r="P20" s="3"/>
    </x:row>
    <x:row r="21">
      <x:c r="A21" s="3"/>
      <x:c r="B21" s="3"/>
      <x:c r="C21" s="3"/>
      <x:c r="D21" s="3"/>
      <x:c r="E21" s="3"/>
      <x:c r="F21" s="3"/>
      <x:c r="G21" s="3"/>
      <x:c r="H21" s="3"/>
      <x:c r="I21" s="3"/>
      <x:c r="J21" s="3"/>
      <x:c r="K21" s="3"/>
      <x:c r="L21" s="3"/>
      <x:c r="M21" s="3"/>
      <x:c r="N21" s="3"/>
      <x:c r="O21" s="3"/>
      <x:c r="P21" s="3"/>
    </x:row>
    <x:row r="22">
      <x:c r="A22" s="3"/>
      <x:c r="B22" s="3"/>
      <x:c r="C22" s="3"/>
      <x:c r="D22" s="3"/>
      <x:c r="E22" s="3"/>
      <x:c r="F22" s="3"/>
      <x:c r="G22" s="3"/>
      <x:c r="H22" s="3"/>
      <x:c r="I22" s="3"/>
      <x:c r="J22" s="3"/>
      <x:c r="K22" s="3"/>
      <x:c r="L22" s="3"/>
      <x:c r="M22" s="3"/>
      <x:c r="N22" s="3"/>
      <x:c r="O22" s="3"/>
      <x:c r="P22" s="3"/>
    </x:row>
    <x:row r="23">
      <x:c r="A23" s="3" t="str">
        <x:v>件数</x:v>
      </x:c>
      <x:c r="B23" s="3" t="n">
        <x:f>COUNTA(A29:A54)</x:f>
        <x:v>26</x:v>
      </x:c>
      <x:c r="C23" s="3" t="str">
        <x:v>OK</x:v>
      </x:c>
      <x:c r="D23" s="3" t="n">
        <x:f>COUNTIF(O29:O54,"OK")</x:f>
        <x:v>0</x:v>
      </x:c>
      <x:c r="E23" s="3" t="str">
        <x:v>NG</x:v>
      </x:c>
      <x:c r="F23" s="3" t="n">
        <x:f>COUNTIF(O29:O54,"NG")</x:f>
        <x:v>0</x:v>
      </x:c>
      <x:c r="G23" s="3" t="str">
        <x:v>未実施</x:v>
      </x:c>
      <x:c r="H23" s="3" t="n">
        <x:f>COUNTIF(O29:O54,"未実施")</x:f>
        <x:v>26</x:v>
      </x:c>
      <x:c r="I23" s="3"/>
      <x:c r="J23" s="3"/>
      <x:c r="K23" s="3"/>
      <x:c r="L23" s="3"/>
      <x:c r="M23" s="3"/>
      <x:c r="N23" s="3"/>
      <x:c r="O23" s="3"/>
      <x:c r="P23" s="3"/>
    </x:row>
    <x:row r="24">
      <x:c r="A24" s="3"/>
      <x:c r="B24" s="3"/>
      <x:c r="C24" s="3"/>
      <x:c r="D24" s="3"/>
      <x:c r="E24" s="3"/>
      <x:c r="F24" s="3"/>
      <x:c r="G24" s="3"/>
      <x:c r="H24" s="3"/>
      <x:c r="I24" s="3"/>
      <x:c r="J24" s="3"/>
      <x:c r="K24" s="3"/>
      <x:c r="L24" s="3"/>
      <x:c r="M24" s="3"/>
      <x:c r="N24" s="3"/>
      <x:c r="O24" s="3"/>
      <x:c r="P24" s="3"/>
    </x:row>
    <x:row r="25">
      <x:c r="A25" s="3"/>
      <x:c r="B25" s="3"/>
      <x:c r="C25" s="3"/>
      <x:c r="D25" s="3"/>
      <x:c r="E25" s="3"/>
      <x:c r="F25" s="3"/>
      <x:c r="G25" s="3"/>
      <x:c r="H25" s="3"/>
      <x:c r="I25" s="3"/>
      <x:c r="J25" s="3"/>
      <x:c r="K25" s="3"/>
      <x:c r="L25" s="3"/>
      <x:c r="M25" s="3"/>
      <x:c r="N25" s="3"/>
      <x:c r="O25" s="3"/>
      <x:c r="P25" s="3"/>
    </x:row>
    <x:row r="26">
      <x:c r="A26" s="6" t="str">
        <x:v>単体テストケース</x:v>
      </x:c>
      <x:c r="B26" s="6" t="str">
        <x:v>単体テストケース</x:v>
      </x:c>
      <x:c r="C26" s="6" t="str">
        <x:v>単体テストケース</x:v>
      </x:c>
      <x:c r="D26" s="6" t="str">
        <x:v>単体テストケース</x:v>
      </x:c>
      <x:c r="E26" s="6" t="str">
        <x:v>単体テストケース</x:v>
      </x:c>
      <x:c r="F26" s="6" t="str">
        <x:v>単体テストケース</x:v>
      </x:c>
      <x:c r="G26" s="6" t="str">
        <x:v>単体テストケース</x:v>
      </x:c>
      <x:c r="H26" s="6" t="str">
        <x:v>単体テストケース</x:v>
      </x:c>
      <x:c r="I26" s="6" t="str">
        <x:v>単体テストケース</x:v>
      </x:c>
      <x:c r="J26" s="6" t="str">
        <x:v>単体テストケース</x:v>
      </x:c>
      <x:c r="K26" s="6" t="str">
        <x:v>単体テストケース</x:v>
      </x:c>
      <x:c r="L26" s="6" t="str">
        <x:v>単体テストケース</x:v>
      </x:c>
      <x:c r="M26" s="6" t="str">
        <x:v>単体テストケース</x:v>
      </x:c>
      <x:c r="N26" s="6" t="str">
        <x:v>単体テストケース</x:v>
      </x:c>
      <x:c r="O26" s="6" t="str">
        <x:v>単体テストケース</x:v>
      </x:c>
      <x:c r="P26" s="6" t="str">
        <x:v>単体テストケース</x:v>
      </x:c>
    </x:row>
    <x:row r="27" ht="28" customHeight="1">
      <x:c r="A27" s="9" t="str">
        <x:v>項番</x:v>
      </x:c>
      <x:c r="B27" s="9" t="str">
        <x:v>分類</x:v>
      </x:c>
      <x:c r="C27" s="9" t="str">
        <x:v>テスト項目</x:v>
      </x:c>
      <x:c r="D27" s="9" t="str">
        <x:v>前提条件</x:v>
      </x:c>
      <x:c r="E27" s="9" t="str">
        <x:v>操作内容(入力値)</x:v>
      </x:c>
      <x:c r="F27" s="9" t="str">
        <x:v>期待結果</x:v>
      </x:c>
      <x:c r="G27" s="9" t="str">
        <x:v>期待メッセージ</x:v>
      </x:c>
      <x:c r="H27" s="9" t="str">
        <x:v>テスト結果</x:v>
      </x:c>
      <x:c r="I27" s="9" t="str">
        <x:v>実施者</x:v>
      </x:c>
      <x:c r="J27" s="9" t="str">
        <x:v>実施日</x:v>
      </x:c>
      <x:c r="K27" s="9" t="str">
        <x:v>不具合内容</x:v>
      </x:c>
      <x:c r="L27" s="9" t="str">
        <x:v>再テスト結果</x:v>
      </x:c>
      <x:c r="M27" s="9" t="str">
        <x:v>再テスト実施者</x:v>
      </x:c>
      <x:c r="N27" s="9" t="str">
        <x:v>再テスト実施日</x:v>
      </x:c>
      <x:c r="O27" s="9" t="str">
        <x:v>最終判定</x:v>
      </x:c>
      <x:c r="P27" s="9" t="str">
        <x:v>備考／根拠</x:v>
      </x:c>
    </x:row>
    <x:row r="28">
      <x:c r="A28" s="3"/>
      <x:c r="B28" s="3"/>
      <x:c r="C28" s="3"/>
      <x:c r="D28" s="3"/>
      <x:c r="E28" s="3"/>
      <x:c r="F28" s="3"/>
      <x:c r="G28" s="3"/>
      <x:c r="H28" s="3"/>
      <x:c r="I28" s="3"/>
      <x:c r="J28" s="3"/>
      <x:c r="K28" s="3"/>
      <x:c r="L28" s="3"/>
      <x:c r="M28" s="3"/>
      <x:c r="N28" s="3"/>
      <x:c r="O28" s="3"/>
      <x:c r="P28" s="3"/>
    </x:row>
    <x:row r="29" ht="78" customHeight="1">
      <x:c r="A29" s="10" t="str">
        <x:v>3003P-1</x:v>
      </x:c>
      <x:c r="B29" s="10" t="str">
        <x:v>出力起点</x:v>
      </x:c>
      <x:c r="C29" s="10" t="str">
        <x:v>定期点検リスト：Web画面から帳票を取得する</x:v>
      </x:c>
      <x:c r="D29" s="10" t="str">
        <x:v>【前提条件】
・共通の前提のとおり。</x:v>
      </x:c>
      <x:c r="E29" s="10" t="str">
        <x:v>1. 本章の前提を準備する。
2. 保守点検出力指示（MCM3003U）で「作業用リスト出力」を実施する。
3. W01に従いダウンロード履歴と取得ファイル名を確認する。
4. 対象ファイルを手動で開く。</x:v>
      </x:c>
      <x:c r="F29" s="10" t="str">
        <x:v>出力対象がある正常条件で、対象帳票を取得でき、Excelで開ける。ダウンロード名：{開始YYYYMM}_{終了YYYYMM}_全件_定期点検リスト.xls／{対象日付範囲}_差分_定期点検リスト.xls。拡張子とブック形式が一致し、Excelの形式不一致警告が出ない。Excel自動起動・ネイティブ保存画面は必須ではない。</x:v>
      </x:c>
      <x:c r="G29" s="10" t="str">
        <x:v>－</x:v>
      </x:c>
      <x:c r="H29" s="10"/>
      <x:c r="I29" s="10"/>
      <x:c r="J29" s="13"/>
      <x:c r="K29" s="10"/>
      <x:c r="L29" s="10"/>
      <x:c r="M29" s="10"/>
      <x:c r="N29" s="13"/>
      <x:c r="O29" s="10" t="str">
        <x:f>IF(L29&lt;&gt;"",L29,IF(H29="","未実施",H29))</x:f>
        <x:v>未実施</x:v>
      </x:c>
      <x:c r="P29" s="10" t="str">
        <x:v>Web根拠：Mcm3003uExcelService.java／Mcm3003uController.java。VB比較対象：Mcm3003pExcel.vb・Constant.vbと起動元画面。対応する機能条件は末尾の根拠一覧参照。</x:v>
      </x:c>
    </x:row>
    <x:row r="30" ht="64" customHeight="1">
      <x:c r="A30" s="10" t="str">
        <x:v>3003P-2</x:v>
      </x:c>
      <x:c r="B30" s="10" t="str">
        <x:v>出力起点</x:v>
      </x:c>
      <x:c r="C30" s="10" t="str">
        <x:v>Web取得操作：ブラウザの保存をキャンセルする</x:v>
      </x:c>
      <x:c r="D30" s="10" t="str">
        <x:v>【前提条件】
・共通の前提のとおり。
・保存先に指定するフォルダに、定期点検リストのファイルがない。</x:v>
      </x:c>
      <x:c r="E30" s="10" t="str">
        <x:v>1. 本章の正常条件で出力する。
2. ブラウザ設定を「保存先を毎回確認」にし、保存をキャンセルする。
3. ダウンロード履歴・保存先・発行元の状態を確認する。</x:v>
      </x:c>
      <x:c r="F30" s="10" t="str">
        <x:v>キャンセルしたファイルが利用者PCに保存されない。Excelの自動起動は要求しない。ブラウザのキャンセルはアプリの発行取消ではなく、先に完了した登録・状態変更を戻さない。再取得の可否は各帳票の再発行条件に従う。</x:v>
      </x:c>
      <x:c r="G30" s="10" t="str">
        <x:v>－</x:v>
      </x:c>
      <x:c r="H30" s="10"/>
      <x:c r="I30" s="10"/>
      <x:c r="J30" s="13"/>
      <x:c r="K30" s="10"/>
      <x:c r="L30" s="10"/>
      <x:c r="M30" s="10"/>
      <x:c r="N30" s="13"/>
      <x:c r="O30" s="10" t="str">
        <x:f>IF(L30&lt;&gt;"",L30,IF(H30="","未実施",H30))</x:f>
        <x:v>未実施</x:v>
      </x:c>
      <x:c r="P30" s="10" t="str">
        <x:v>W02。2001Pは発行処理の確認取消（2001P-40）と区別。3001P／3005Pは同一ZIPの取得取消であり、帳票別の保存ダイアログはない。</x:v>
      </x:c>
    </x:row>
    <x:row r="31" ht="148" customHeight="1">
      <x:c r="A31" s="10" t="str">
        <x:v>3003P-3</x:v>
      </x:c>
      <x:c r="B31" s="10" t="str">
        <x:v>出力起点</x:v>
      </x:c>
      <x:c r="C31" s="10" t="str">
        <x:v>MCM3003U：差分出力で、出力対象日付の開始と終了を入力した場合のダウンロードファイル名</x:v>
      </x:c>
      <x:c r="D31" s="10" t="str">
        <x:v>【前提条件】
・共通の前提のとおり。
・ON日付が2026/10/01〜2026/10/31の間にある点検データがある。</x:v>
      </x:c>
      <x:c r="E31" s="10" t="str">
        <x:v>1. メニュー(MCM0001U)で「保守点検出力指示」ボタンを押下し、MCM3003Uを表示する。
2. 「点検対象月」の開始と終了に、対象期間の月を入力する。
3. 「差分出力」を選択する。
4. 「出力対象日付」の開始に「2026/10/01」、終了に「2026/10/31」を入力する。
5. 「作業用リスト出力」ボタンを押下する。
6. 共通手順W01に従い対象ファイルを取得し、Excelで開いて本ケースの期待結果を確認する。異常系はファイルが取得されないことを確認する。</x:v>
      </x:c>
      <x:c r="F31" s="10" t="str">
        <x:v>1. ダウンロードファイル名が「20261001_20261031_差分_定期点検リスト.xls」になっている（出力対象日付の開始の「/」を除いた8桁、「_」、終了の8桁、「_差分」、「_定期点検リスト.xls」の順）。
2. 「点検対象月」の値はファイル名に含まれない。</x:v>
      </x:c>
      <x:c r="G31" s="10" t="str">
        <x:v>－</x:v>
      </x:c>
      <x:c r="H31" s="10"/>
      <x:c r="I31" s="10"/>
      <x:c r="J31" s="13"/>
      <x:c r="K31" s="10"/>
      <x:c r="L31" s="10"/>
      <x:c r="M31" s="10"/>
      <x:c r="N31" s="13"/>
      <x:c r="O31" s="10" t="str">
        <x:f>IF(L31&lt;&gt;"",L31,IF(H31="","未実施",H31))</x:f>
        <x:v>未実施</x:v>
      </x:c>
      <x:c r="P31" s="10" t="str">
        <x:v>Web根拠：Mcm3003uExcelService.java／Mcm3003uController.java。VB比較対象：Mcm3003pExcel.vb・Constant.vbと起動元画面。対応する機能条件は末尾の根拠一覧参照。</x:v>
      </x:c>
    </x:row>
    <x:row r="32" ht="148" customHeight="1">
      <x:c r="A32" s="10" t="str">
        <x:v>3003P-4</x:v>
      </x:c>
      <x:c r="B32" s="10" t="str">
        <x:v>出力起点</x:v>
      </x:c>
      <x:c r="C32" s="10" t="str">
        <x:v>MCM3003U：差分出力で、出力対象日付の開始だけを入力した場合のダウンロードファイル名</x:v>
      </x:c>
      <x:c r="D32" s="10" t="str">
        <x:v>【前提条件】
・共通の前提のとおり。
・ON日付が2026/10/01以降にある点検データがある。</x:v>
      </x:c>
      <x:c r="E32" s="10" t="str">
        <x:v>1. メニュー(MCM0001U)で「保守点検出力指示」ボタンを押下し、MCM3003Uを表示する。
2. 「点検対象月」の開始と終了に、対象期間の月を入力する。
3. 「差分出力」を選択する。
4. 「出力対象日付」の開始に「2026/10/01」を入力し、終了は空のままにする。
5. 「作業用リスト出力」ボタンを押下する。
6. 共通手順W01に従い対象ファイルを取得し、Excelで開いて本ケースの期待結果を確認する。異常系はファイルが取得されないことを確認する。</x:v>
      </x:c>
      <x:c r="F32" s="10" t="str">
        <x:v>1. ダウンロードファイル名が「20261001_差分_定期点検リスト.xls」になっている。</x:v>
      </x:c>
      <x:c r="G32" s="10" t="str">
        <x:v>－</x:v>
      </x:c>
      <x:c r="H32" s="10"/>
      <x:c r="I32" s="10"/>
      <x:c r="J32" s="13"/>
      <x:c r="K32" s="10"/>
      <x:c r="L32" s="10"/>
      <x:c r="M32" s="10"/>
      <x:c r="N32" s="13"/>
      <x:c r="O32" s="10" t="str">
        <x:f>IF(L32&lt;&gt;"",L32,IF(H32="","未実施",H32))</x:f>
        <x:v>未実施</x:v>
      </x:c>
      <x:c r="P32" s="10" t="str">
        <x:v>Web根拠：Mcm3003uExcelService.java／Mcm3003uController.java。VB比較対象：Mcm3003pExcel.vb・Constant.vbと起動元画面。対応する機能条件は末尾の根拠一覧参照。</x:v>
      </x:c>
    </x:row>
    <x:row r="33" ht="148" customHeight="1">
      <x:c r="A33" s="10" t="str">
        <x:v>3003P-5</x:v>
      </x:c>
      <x:c r="B33" s="10" t="str">
        <x:v>出力起点</x:v>
      </x:c>
      <x:c r="C33" s="10" t="str">
        <x:v>MCM3003U：差分出力で、出力対象日付の終了だけを入力した場合のダウンロードファイル名</x:v>
      </x:c>
      <x:c r="D33" s="10" t="str">
        <x:v>【前提条件】
・共通の前提のとおり。
・ON日付が2026/10/31以前にある点検データがある。</x:v>
      </x:c>
      <x:c r="E33" s="10" t="str">
        <x:v>1. メニュー(MCM0001U)で「保守点検出力指示」ボタンを押下し、MCM3003Uを表示する。
2. 「点検対象月」の開始と終了に、対象期間の月を入力する。
3. 「差分出力」を選択する。
4. 「出力対象日付」の終了に「2026/10/31」を入力し、開始は空のままにする。
5. 「作業用リスト出力」ボタンを押下する。
6. 共通手順W01に従い対象ファイルを取得し、Excelで開いて本ケースの期待結果を確認する。異常系はファイルが取得されないことを確認する。</x:v>
      </x:c>
      <x:c r="F33" s="10" t="str">
        <x:v>1. ダウンロードファイル名が「20261031_差分_定期点検リスト.xls」になっている。</x:v>
      </x:c>
      <x:c r="G33" s="10" t="str">
        <x:v>－</x:v>
      </x:c>
      <x:c r="H33" s="10"/>
      <x:c r="I33" s="10"/>
      <x:c r="J33" s="13"/>
      <x:c r="K33" s="10"/>
      <x:c r="L33" s="10"/>
      <x:c r="M33" s="10"/>
      <x:c r="N33" s="13"/>
      <x:c r="O33" s="10" t="str">
        <x:f>IF(L33&lt;&gt;"",L33,IF(H33="","未実施",H33))</x:f>
        <x:v>未実施</x:v>
      </x:c>
      <x:c r="P33" s="10" t="str">
        <x:v>Web根拠：Mcm3003uExcelService.java／Mcm3003uController.java。VB比較対象：Mcm3003pExcel.vb・Constant.vbと起動元画面。対応する機能条件は末尾の根拠一覧参照。</x:v>
      </x:c>
    </x:row>
    <x:row r="34" ht="162" customHeight="1">
      <x:c r="A34" s="10" t="str">
        <x:v>3003P-6</x:v>
      </x:c>
      <x:c r="B34" s="10" t="str">
        <x:v>対象の絞り込み</x:v>
      </x:c>
      <x:c r="C34" s="10" t="str">
        <x:v>定期点検リスト：点検対象月の範囲（開始月〜終了月）の点検データだけが出力される</x:v>
      </x:c>
      <x:c r="D34" s="10" t="str">
        <x:v>【前提条件】
・共通の前提のとおり。
・点検月が2026/09、2026/10、2026/11、2026/12 の点検データが、それぞれ1件以上ある。
・各月の点検データのプラント名を控えている。</x:v>
      </x:c>
      <x:c r="E34" s="10" t="str">
        <x:v>1. メニュー(MCM0001U)で「保守点検出力指示」ボタンを押下し、MCM3003Uを表示する。
2. 「点検対象月」の開始に「2026/10」、終了に「2026/11」を入力する。
3. 「全件出力」を選択する。
4. 「作業用リスト出力」ボタンを押下する。
5. 取得したファイルを手動で開いたExcelの「点検月」の列（J列）と「プラント名」の列（E列）を、全行確認する。
6. 共通手順W01に従い対象ファイルを取得し、Excelで開いて本ケースの期待結果を確認する。異常系はファイルが取得されないことを確認する。</x:v>
      </x:c>
      <x:c r="F34" s="10" t="str">
        <x:v>1. 「点検月」が2026/10と2026/11の行だけがある。
2. 点検月が2026/09、2026/12の点検データの行がない。
3. 開始月の月初から終了月の月末までの点検データが含まれる（2026/10の行、2026/11の行の両方がある）。</x:v>
      </x:c>
      <x:c r="G34" s="10" t="str">
        <x:v>－</x:v>
      </x:c>
      <x:c r="H34" s="10"/>
      <x:c r="I34" s="10"/>
      <x:c r="J34" s="13"/>
      <x:c r="K34" s="10"/>
      <x:c r="L34" s="10"/>
      <x:c r="M34" s="10"/>
      <x:c r="N34" s="13"/>
      <x:c r="O34" s="10" t="str">
        <x:f>IF(L34&lt;&gt;"",L34,IF(H34="","未実施",H34))</x:f>
        <x:v>未実施</x:v>
      </x:c>
      <x:c r="P34" s="10" t="str">
        <x:v>Web根拠：Mcm3003uExcelService.java／Mcm3003uController.java。VB比較対象：Mcm3003pExcel.vb・Constant.vbと起動元画面。対応する機能条件は末尾の根拠一覧参照。</x:v>
      </x:c>
    </x:row>
    <x:row r="35" ht="190" customHeight="1">
      <x:c r="A35" s="10" t="str">
        <x:v>3003P-7</x:v>
      </x:c>
      <x:c r="B35" s="10" t="str">
        <x:v>対象の絞り込み</x:v>
      </x:c>
      <x:c r="C35" s="10" t="str">
        <x:v>定期点検リスト：差分出力では、出力対象日付の範囲のON日付の点検データだけが出力される</x:v>
      </x:c>
      <x:c r="D35" s="10" t="str">
        <x:v>【前提条件】
・共通の前提のとおり。
・同じ点検対象月の点検データで、ON日付が2026/10/01〜2026/10/31の範囲内のものと、範囲外のものが、それぞれ1件以上ある。【要確認：ON日付を画面で確認する方法】
・それぞれの点検データのプラント名を控えている。</x:v>
      </x:c>
      <x:c r="E35" s="10" t="str">
        <x:v>1. メニュー(MCM0001U)で「保守点検出力指示」ボタンを押下し、MCM3003Uを表示する。
2. 「点検対象月」の開始と終了に、対象の点検データがある月を入力する。
3. 「差分出力」を選択する。
4. 「出力対象日付」の開始に「2026/10/01」、終了に「2026/10/31」を入力する。
5. 「作業用リスト出力」ボタンを押下する。
6. 取得したファイルを手動で開いたExcelの「プラント名」の列（E列）を全行確認する。
7. 共通手順W01に従い対象ファイルを取得し、Excelで開いて本ケースの期待結果を確認する。異常系はファイルが取得されないことを確認する。</x:v>
      </x:c>
      <x:c r="F35" s="10" t="str">
        <x:v>1. ON日付が範囲内の点検データのプラント名が、Excelにある。
2. ON日付が範囲外の点検データのプラント名が、Excelにない。
3. 範囲の両端の日（2026/10/01、2026/10/31）のON日付の点検データが含まれる。</x:v>
      </x:c>
      <x:c r="G35" s="10" t="str">
        <x:v>－</x:v>
      </x:c>
      <x:c r="H35" s="10"/>
      <x:c r="I35" s="10"/>
      <x:c r="J35" s="13"/>
      <x:c r="K35" s="10"/>
      <x:c r="L35" s="10"/>
      <x:c r="M35" s="10"/>
      <x:c r="N35" s="13"/>
      <x:c r="O35" s="10" t="str">
        <x:f>IF(L35&lt;&gt;"",L35,IF(H35="","未実施",H35))</x:f>
        <x:v>未実施</x:v>
      </x:c>
      <x:c r="P35" s="10" t="str">
        <x:v>Web根拠：Mcm3003uExcelService.java／Mcm3003uController.java。VB比較対象：Mcm3003pExcel.vb・Constant.vbと起動元画面。対応する機能条件は末尾の根拠一覧参照。</x:v>
      </x:c>
    </x:row>
    <x:row r="36" ht="190" customHeight="1">
      <x:c r="A36" s="10" t="str">
        <x:v>3003P-8</x:v>
      </x:c>
      <x:c r="B36" s="10" t="str">
        <x:v>対象の絞り込み</x:v>
      </x:c>
      <x:c r="C36" s="10" t="str">
        <x:v>定期点検リスト：全件出力では、出力対象日付に値があっても絞り込みに使われない</x:v>
      </x:c>
      <x:c r="D36" s="10" t="str">
        <x:v>【前提条件】
・共通の前提のとおり。
・同じ点検対象月の点検データで、ON日付が2026/10/01〜2026/10/31の範囲内のものと、範囲外のものが、それぞれ1件以上ある。【要確認：ON日付を画面で確認する方法】</x:v>
      </x:c>
      <x:c r="E36" s="10" t="str">
        <x:v>1. メニュー(MCM0001U)で「保守点検出力指示」ボタンを押下し、MCM3003Uを表示する。
2. 「点検対象月」の開始と終了に、対象の点検データがある月を入力する。
3. 「差分出力」を選択し、「出力対象日付」の開始に「2026/10/01」、終了に「2026/10/31」を入力する。
4. 「全件出力」を選択し直す。
5. 「作業用リスト出力」ボタンを押下する。
6. 取得したファイルを手動で開いたExcelの「プラント名」の列（E列）を全行確認する。
7. 共通手順W01に従い対象ファイルを取得し、Excelで開いて本ケースの期待結果を確認する。異常系はファイルが取得されないことを確認する。</x:v>
      </x:c>
      <x:c r="F36" s="10" t="str">
        <x:v>1. ダウンロードファイル名が、「全件」のファイル名（「yyyyMM_yyyyMM_全件_定期点検リスト.xls」）で、「差分」のファイル名ではない。
2. ON日付が範囲内の点検データと、範囲外の点検データの両方のプラント名が、Excelにある。</x:v>
      </x:c>
      <x:c r="G36" s="10" t="str">
        <x:v>－</x:v>
      </x:c>
      <x:c r="H36" s="10"/>
      <x:c r="I36" s="10"/>
      <x:c r="J36" s="13"/>
      <x:c r="K36" s="10"/>
      <x:c r="L36" s="10"/>
      <x:c r="M36" s="10"/>
      <x:c r="N36" s="13"/>
      <x:c r="O36" s="10" t="str">
        <x:f>IF(L36&lt;&gt;"",L36,IF(H36="","未実施",H36))</x:f>
        <x:v>未実施</x:v>
      </x:c>
      <x:c r="P36" s="10" t="str">
        <x:v>Web根拠：Mcm3003uExcelService.java／Mcm3003uController.java。VB比較対象：Mcm3003pExcel.vb・Constant.vbと起動元画面。対応する機能条件は末尾の根拠一覧参照。</x:v>
      </x:c>
    </x:row>
    <x:row r="37" ht="148" customHeight="1">
      <x:c r="A37" s="10" t="str">
        <x:v>3003P-9</x:v>
      </x:c>
      <x:c r="B37" s="10" t="str">
        <x:v>帳票レイアウト</x:v>
      </x:c>
      <x:c r="C37" s="10" t="str">
        <x:v>定期点検リスト：シートの構成、見出し行、データの開始行</x:v>
      </x:c>
      <x:c r="D37" s="10" t="str">
        <x:v>【前提条件】
・共通の前提のとおり。</x:v>
      </x:c>
      <x:c r="E37" s="10" t="str">
        <x:v>1. メニュー(MCM0001U)で「保守点検出力指示」ボタンを押下し、MCM3003Uを表示する。
2. 「点検対象月」の開始と終了に、対象期間の月を入力する。
3. 「全件出力」を選択する。
4. 「作業用リスト出力」ボタンを押下する。
5. 取得したファイルを手動で開いたExcelで、シートの数とシート名、1行目と2行目を確認する。
6. 共通手順W01に従い対象ファイルを取得し、Excelで開いて本ケースの期待結果を確認する。異常系はファイルが取得されないことを確認する。</x:v>
      </x:c>
      <x:c r="F37" s="10" t="str">
        <x:v>シート「定期点検リスト」、見出し1行目、データ2行目以降。A〜Oは「店舗」「納入先名」「納入先読み」「CSNO」「プラント名」「ブランド名」「品名」「取引先」「回数」「契約点検月」「契約日」「解約日」「契約番号」「保守会社」「備考」の15列。見出しと値が対応する。</x:v>
      </x:c>
      <x:c r="G37" s="10" t="str">
        <x:v>－</x:v>
      </x:c>
      <x:c r="H37" s="10"/>
      <x:c r="I37" s="10"/>
      <x:c r="J37" s="13"/>
      <x:c r="K37" s="10"/>
      <x:c r="L37" s="10"/>
      <x:c r="M37" s="10"/>
      <x:c r="N37" s="13"/>
      <x:c r="O37" s="10" t="str">
        <x:f>IF(L37&lt;&gt;"",L37,IF(H37="","未実施",H37))</x:f>
        <x:v>未実施</x:v>
      </x:c>
      <x:c r="P37" s="10" t="str">
        <x:v>Web原紙A〜JにMcm3003uExcelService.writeExtraHeadersがK〜Oを追加する。テンプレートだけで10列と判定しない。</x:v>
      </x:c>
    </x:row>
    <x:row r="38" ht="162" customHeight="1">
      <x:c r="A38" s="10" t="str">
        <x:v>3003P-10</x:v>
      </x:c>
      <x:c r="B38" s="10" t="str">
        <x:v>行の構成</x:v>
      </x:c>
      <x:c r="C38" s="10" t="str">
        <x:v>定期点検リスト：点検データ1件が1行で、機器が複数あっても横に並ばず1行ずつになる</x:v>
      </x:c>
      <x:c r="D38" s="10" t="str">
        <x:v>【前提条件】
・共通の前提のとおり。
・対象期間に、プラント・点検月・点検可能曜日が同じ機器が3件あるプラントがある。
・3件の機器の「機器品名」を控えている。</x:v>
      </x:c>
      <x:c r="E38" s="10" t="str">
        <x:v>1. メニュー(MCM0001U)で「保守点検出力指示」ボタンを押下し、MCM3003Uを表示する。
2. 「点検対象月」の開始と終了に、そのプラントの点検月を入力する。
3. 「全件出力」を選択する。
4. 「作業用リスト出力」ボタンを押下する。
5. 取得したファイルを手動で開いたExcelで、そのプラントの行を確認する。
6. 共通手順W01に従い対象ファイルを取得し、Excelで開いて本ケースの期待結果を確認する。異常系はファイルが取得されないことを確認する。</x:v>
      </x:c>
      <x:c r="F38" s="10" t="str">
        <x:v>1. そのプラントの行が3行ある（機器1件につき1行）。
2. 3行の「機器品名」の列（G列）に、控えた3件の機器品名が1件ずつ入っている（欠落、重複がない）。
3. 3行の「プラント名」の列（E列）が、同じプラント名である。
4. 16列目（P列）以降に値がない（機器が横に並ばない）。</x:v>
      </x:c>
      <x:c r="G38" s="10" t="str">
        <x:v>－</x:v>
      </x:c>
      <x:c r="H38" s="10"/>
      <x:c r="I38" s="10"/>
      <x:c r="J38" s="13"/>
      <x:c r="K38" s="10"/>
      <x:c r="L38" s="10"/>
      <x:c r="M38" s="10"/>
      <x:c r="N38" s="13"/>
      <x:c r="O38" s="10" t="str">
        <x:f>IF(L38&lt;&gt;"",L38,IF(H38="","未実施",H38))</x:f>
        <x:v>未実施</x:v>
      </x:c>
      <x:c r="P38" s="10" t="str">
        <x:v>Web根拠：Mcm3003uExcelService.java／Mcm3003uController.java。VB比較対象：Mcm3003pExcel.vb・Constant.vbと起動元画面。対応する機能条件は末尾の根拠一覧参照。</x:v>
      </x:c>
    </x:row>
    <x:row r="39" ht="162" customHeight="1">
      <x:c r="A39" s="10" t="str">
        <x:v>3003P-11</x:v>
      </x:c>
      <x:c r="B39" s="10" t="str">
        <x:v>項目</x:v>
      </x:c>
      <x:c r="C39" s="10" t="str">
        <x:v>定期点検リスト：店舗名、納入先名、納入先かな名、プラント名が出力される</x:v>
      </x:c>
      <x:c r="D39" s="10" t="str">
        <x:v>【前提条件】
・共通の前提のとおり。
・対象期間に点検データがあるプラントが1つある。
・そのプラントの「店舗名」「納入先名」「納入先かな名」「プラント名」を控えている【要確認：納入先かな名を確認できる画面】。</x:v>
      </x:c>
      <x:c r="E39" s="10" t="str">
        <x:v>1. メニュー(MCM0001U)で「保守点検出力指示」ボタンを押下し、MCM3003Uを表示する。
2. 「点検対象月」の開始と終了に、そのプラントの点検月を入力する。
3. 「全件出力」を選択する。
4. 「作業用リスト出力」ボタンを押下する。
5. 取得したファイルを手動で開いたExcelで、そのプラントの行の A列〜C列と E列を確認する。
6. 共通手順W01に従い対象ファイルを取得し、Excelで開いて本ケースの期待結果を確認する。異常系はファイルが取得されないことを確認する。</x:v>
      </x:c>
      <x:c r="F39" s="10" t="str">
        <x:v>1. A列（店舗名）が、控えた店舗名と同じである。
2. B列（納入先名）が、控えた納入先名と同じである。
3. C列（納入先かな名）が、控えた納入先かな名と同じである。
4. E列（プラント名）が、控えたプラント名と同じである。</x:v>
      </x:c>
      <x:c r="G39" s="10" t="str">
        <x:v>－</x:v>
      </x:c>
      <x:c r="H39" s="10"/>
      <x:c r="I39" s="10"/>
      <x:c r="J39" s="13"/>
      <x:c r="K39" s="10"/>
      <x:c r="L39" s="10"/>
      <x:c r="M39" s="10"/>
      <x:c r="N39" s="13"/>
      <x:c r="O39" s="10" t="str">
        <x:f>IF(L39&lt;&gt;"",L39,IF(H39="","未実施",H39))</x:f>
        <x:v>未実施</x:v>
      </x:c>
      <x:c r="P39" s="10" t="str">
        <x:v>Web根拠：Mcm3003uExcelService.java／Mcm3003uController.java。VB比較対象：Mcm3003pExcel.vb・Constant.vbと起動元画面。対応する機能条件は末尾の根拠一覧参照。</x:v>
      </x:c>
    </x:row>
    <x:row r="40" ht="162" customHeight="1">
      <x:c r="A40" s="10" t="str">
        <x:v>3003P-12</x:v>
      </x:c>
      <x:c r="B40" s="10" t="str">
        <x:v>項目</x:v>
      </x:c>
      <x:c r="C40" s="10" t="str">
        <x:v>定期点検リスト：サポートIDが「Pxx-xxxxx」の形式で出力される</x:v>
      </x:c>
      <x:c r="D40" s="10" t="str">
        <x:v>【前提条件】
・共通の前提のとおり。
・対象期間に点検データがあるプラントがあり、そのプラントの「サポートID」を、画面で控えている（例：「1234567」）。</x:v>
      </x:c>
      <x:c r="E40" s="10" t="str">
        <x:v>1. メニュー(MCM0001U)で「保守点検出力指示」ボタンを押下し、MCM3003Uを表示する。
2. 「点検対象月」の開始と終了に、そのプラントの点検月を入力する。
3. 「全件出力」を選択する。
4. 「作業用リスト出力」ボタンを押下する。
5. 取得したファイルを手動で開いたExcelで、そのプラントの行の「サポートID」の列（D列）を確認する。
6. 共通手順W01に従い対象ファイルを取得し、Excelで開いて本ケースの期待結果を確認する。異常系はファイルが取得されないことを確認する。</x:v>
      </x:c>
      <x:c r="F40" s="10" t="str">
        <x:v>1. 「サポートID」が、控えたサポートIDの先頭2文字に「P」を付け、ハイフン、続く5文字を並べた形式で表示される（例：「1234567」は「P12-34567」）。
2. サポートIDが7文字に満たない場合は、後ろを「0」で補って7文字にして変換する（例：「12345」は「P12-34500」）。</x:v>
      </x:c>
      <x:c r="G40" s="10" t="str">
        <x:v>－</x:v>
      </x:c>
      <x:c r="H40" s="10"/>
      <x:c r="I40" s="10"/>
      <x:c r="J40" s="13"/>
      <x:c r="K40" s="10"/>
      <x:c r="L40" s="10"/>
      <x:c r="M40" s="10"/>
      <x:c r="N40" s="13"/>
      <x:c r="O40" s="10" t="str">
        <x:f>IF(L40&lt;&gt;"",L40,IF(H40="","未実施",H40))</x:f>
        <x:v>未実施</x:v>
      </x:c>
      <x:c r="P40" s="10" t="str">
        <x:v>Web根拠：Mcm3003uExcelService.java／Mcm3003uController.java。VB比較対象：Mcm3003pExcel.vb・Constant.vbと起動元画面。対応する機能条件は末尾の根拠一覧参照。</x:v>
      </x:c>
    </x:row>
    <x:row r="41" ht="162" customHeight="1">
      <x:c r="A41" s="10" t="str">
        <x:v>3003P-13</x:v>
      </x:c>
      <x:c r="B41" s="10" t="str">
        <x:v>項目</x:v>
      </x:c>
      <x:c r="C41" s="10" t="str">
        <x:v>定期点検リスト：ブランド名、機器品名、取引先、点検回数、点検月が出力される</x:v>
      </x:c>
      <x:c r="D41" s="10" t="str">
        <x:v>【前提条件】
・共通の前提のとおり。
・対象期間に点検データがある機器が1件ある。
・その機器の「ブランド名」「機器品名」「取引先」「点検回数」「点検月」を控えている【要確認：これらを確認できる画面】。</x:v>
      </x:c>
      <x:c r="E41" s="10" t="str">
        <x:v>1. メニュー(MCM0001U)で「保守点検出力指示」ボタンを押下し、MCM3003Uを表示する。
2. 「点検対象月」の開始と終了に、その機器の点検月を入力する。
3. 「全件出力」を選択する。
4. 「作業用リスト出力」ボタンを押下する。
5. 取得したファイルを手動で開いたExcelで、その機器の行の F列〜J列を確認する。
6. 共通手順W01に従い対象ファイルを取得し、Excelで開いて本ケースの期待結果を確認する。異常系はファイルが取得されないことを確認する。</x:v>
      </x:c>
      <x:c r="F41" s="10" t="str">
        <x:v>1. F列（ブランド名）、G列（機器品名）、H列（取引先）が、控えた値と同じである。
2. I列（点検回数）が、控えた点検回数と同じ数値である。
3. J列（点検月）が、控えた点検月である（日付セルにyyyy年m月d日書式）。</x:v>
      </x:c>
      <x:c r="G41" s="10" t="str">
        <x:v>－</x:v>
      </x:c>
      <x:c r="H41" s="10"/>
      <x:c r="I41" s="10"/>
      <x:c r="J41" s="13"/>
      <x:c r="K41" s="10"/>
      <x:c r="L41" s="10"/>
      <x:c r="M41" s="10"/>
      <x:c r="N41" s="13"/>
      <x:c r="O41" s="10" t="str">
        <x:f>IF(L41&lt;&gt;"",L41,IF(H41="","未実施",H41))</x:f>
        <x:v>未実施</x:v>
      </x:c>
      <x:c r="P41" s="10" t="str">
        <x:v>Web根拠：Mcm3003uExcelService.java／Mcm3003uController.java。VB比較対象：Mcm3003pExcel.vb・Constant.vbと起動元画面。対応する機能条件は末尾の根拠一覧参照。</x:v>
      </x:c>
    </x:row>
    <x:row r="42" ht="162" customHeight="1">
      <x:c r="A42" s="10" t="str">
        <x:v>3003P-14</x:v>
      </x:c>
      <x:c r="B42" s="10" t="str">
        <x:v>項目</x:v>
      </x:c>
      <x:c r="C42" s="10" t="str">
        <x:v>定期点検リスト：契約日、解約日、契約番号、保守会社名、備考が出力される</x:v>
      </x:c>
      <x:c r="D42" s="10" t="str">
        <x:v>【前提条件】
・共通の前提のとおり。
・対象期間に点検データがある契約で、解約日が登録されている契約が1件ある。
・その契約の「契約日」「解約日」「契約番号」「保守会社名」「備考」を控えている【要確認：これらを確認できる画面】。</x:v>
      </x:c>
      <x:c r="E42" s="10" t="str">
        <x:v>1. メニュー(MCM0001U)で「保守点検出力指示」ボタンを押下し、MCM3003Uを表示する。
2. 「点検対象月」の開始と終了に、その契約の点検月を入力する。
3. 「全件出力」を選択する。
4. 「作業用リスト出力」ボタンを押下する。
5. 取得したファイルを手動で開いたExcelで、その契約の行の K列〜O列を確認する。
6. 共通手順W01に従い対象ファイルを取得し、Excelで開いて本ケースの期待結果を確認する。異常系はファイルが取得されないことを確認する。</x:v>
      </x:c>
      <x:c r="F42" s="10" t="str">
        <x:v>1. K列（契約日）が、控えた契約日である。
2. L列（解約日）が、控えた解約日である。
3. M列（契約番号）が、控えた契約番号と同じである。
4. N列（保守会社名）が、控えた保守会社名と同じである。
5. O列（備考）が、控えた備考と同じである。</x:v>
      </x:c>
      <x:c r="G42" s="10" t="str">
        <x:v>－</x:v>
      </x:c>
      <x:c r="H42" s="10"/>
      <x:c r="I42" s="10"/>
      <x:c r="J42" s="13"/>
      <x:c r="K42" s="10"/>
      <x:c r="L42" s="10"/>
      <x:c r="M42" s="10"/>
      <x:c r="N42" s="13"/>
      <x:c r="O42" s="10" t="str">
        <x:f>IF(L42&lt;&gt;"",L42,IF(H42="","未実施",H42))</x:f>
        <x:v>未実施</x:v>
      </x:c>
      <x:c r="P42" s="10" t="str">
        <x:v>Web根拠：Mcm3003uExcelService.java／Mcm3003uController.java。VB比較対象：Mcm3003pExcel.vb・Constant.vbと起動元画面。対応する機能条件は末尾の根拠一覧参照。</x:v>
      </x:c>
    </x:row>
    <x:row r="43" ht="176" customHeight="1">
      <x:c r="A43" s="10" t="str">
        <x:v>3003P-15</x:v>
      </x:c>
      <x:c r="B43" s="10" t="str">
        <x:v>項目</x:v>
      </x:c>
      <x:c r="C43" s="10" t="str">
        <x:v>定期点検リスト：解約日が登録されていない契約の「解約日」は空欄になる</x:v>
      </x:c>
      <x:c r="D43" s="10" t="str">
        <x:v>【前提条件】
・共通の前提のとおり。
・対象期間に点検データがある契約で、解約日が登録されていない契約が1件ある。
・その契約の契約番号を控えている。</x:v>
      </x:c>
      <x:c r="E43" s="10" t="str">
        <x:v>1. メニュー(MCM0001U)で「保守点検出力指示」ボタンを押下し、MCM3003Uを表示する。
2. 「点検対象月」の開始と終了に、その契約の点検月を入力する。
3. 「全件出力」を選択する。
4. 「作業用リスト出力」ボタンを押下する。
5. 取得したファイルを手動で開いたExcelで、その契約の行の「契約日」の列（K列）、「解約日」の列（L列）、「契約番号」の列（M列）を確認する。
6. 共通手順W01に従い対象ファイルを取得し、Excelで開いて本ケースの期待結果を確認する。異常系はファイルが取得されないことを確認する。</x:v>
      </x:c>
      <x:c r="F43" s="10" t="str">
        <x:v>1. M列（契約番号）が、控えた契約番号である。
2. L列（解約日）が空欄である（「0001/01/01」や「1900/01/00」などの日付が表示されていない）。
3. K列（契約日）に、契約日が表示される。</x:v>
      </x:c>
      <x:c r="G43" s="10" t="str">
        <x:v>－</x:v>
      </x:c>
      <x:c r="H43" s="10"/>
      <x:c r="I43" s="10"/>
      <x:c r="J43" s="13"/>
      <x:c r="K43" s="10"/>
      <x:c r="L43" s="10"/>
      <x:c r="M43" s="10"/>
      <x:c r="N43" s="13"/>
      <x:c r="O43" s="10" t="str">
        <x:f>IF(L43&lt;&gt;"",L43,IF(H43="","未実施",H43))</x:f>
        <x:v>未実施</x:v>
      </x:c>
      <x:c r="P43" s="10" t="str">
        <x:v>Web根拠：Mcm3003uExcelService.java／Mcm3003uController.java。VB比較対象：Mcm3003pExcel.vb・Constant.vbと起動元画面。対応する機能条件は末尾の根拠一覧参照。</x:v>
      </x:c>
    </x:row>
    <x:row r="44" ht="162" customHeight="1">
      <x:c r="A44" s="10" t="str">
        <x:v>3003P-16</x:v>
      </x:c>
      <x:c r="B44" s="10" t="str">
        <x:v>並び順</x:v>
      </x:c>
      <x:c r="C44" s="10" t="str">
        <x:v>定期点検リスト：行がプラント、点検月、点検可能曜日の昇順に並ぶ</x:v>
      </x:c>
      <x:c r="D44" s="10" t="str">
        <x:v>【前提条件】
・共通の前提のとおり。
・対象期間に、プラントが3つ以上あり、1つのプラントに点検月が異なる点検データがある。
・各プラントの「プラントID」の順（プラント名の順ではない）を控えている【要確認：プラントIDを画面で確認する方法】。</x:v>
      </x:c>
      <x:c r="E44" s="10" t="str">
        <x:v>1. メニュー(MCM0001U)で「保守点検出力指示」ボタンを押下し、MCM3003Uを表示する。
2. 「点検対象月」の開始と終了に、前提条件のプラントの点検月がすべて含まれる期間を入力する。
3. 「全件出力」を選択する。
4. 「作業用リスト出力」ボタンを押下する。
5. 取得したファイルを手動で開いたExcelで、「プラント名」の列（E列）と「点検月」の列（J列）を上から順に確認する。
6. 共通手順W01に従い対象ファイルを取得し、Excelで開いて本ケースの期待結果を確認する。異常系はファイルが取得されないことを確認する。</x:v>
      </x:c>
      <x:c r="F44" s="10" t="str">
        <x:v>プラントID・点検月・点検可能曜日の昇順。横持ち帳票3002P-19と同じ元レコードの並びを使い、件数は横持ちの行数ではなく元データ数で照合する。</x:v>
      </x:c>
      <x:c r="G44" s="10" t="str">
        <x:v>－</x:v>
      </x:c>
      <x:c r="H44" s="10"/>
      <x:c r="I44" s="10"/>
      <x:c r="J44" s="13"/>
      <x:c r="K44" s="10"/>
      <x:c r="L44" s="10"/>
      <x:c r="M44" s="10"/>
      <x:c r="N44" s="13"/>
      <x:c r="O44" s="10" t="str">
        <x:f>IF(L44&lt;&gt;"",L44,IF(H44="","未実施",H44))</x:f>
        <x:v>未実施</x:v>
      </x:c>
      <x:c r="P44" s="10" t="str">
        <x:v>Web根拠：Mcm3003uExcelService.java／Mcm3003uController.java。VB比較対象：Mcm3003pExcel.vb・Constant.vbと起動元画面。対応する機能条件は末尾の根拠一覧参照。</x:v>
      </x:c>
    </x:row>
    <x:row r="45" ht="148" customHeight="1">
      <x:c r="A45" s="10" t="str">
        <x:v>3003P-17</x:v>
      </x:c>
      <x:c r="B45" s="10" t="str">
        <x:v>書式</x:v>
      </x:c>
      <x:c r="C45" s="10" t="str">
        <x:v>定期点検リスト：データ行に罫線（縦線を含む）が付く</x:v>
      </x:c>
      <x:c r="D45" s="10" t="str">
        <x:v>【前提条件】
・共通の前提のとおり。
・対象期間に点検データが3件以上ある。</x:v>
      </x:c>
      <x:c r="E45" s="10" t="str">
        <x:v>1. メニュー(MCM0001U)で「保守点検出力指示」ボタンを押下し、MCM3003Uを表示する。
2. 「点検対象月」の開始と終了に、対象期間の月を入力する。
3. 「全件出力」を選択する。
4. 「作業用リスト出力」ボタンを押下する。
5. 取得したファイルを手動で開いたExcelで、2行目から最終行までの枠線を確認する。
6. 共通手順W01に従い対象ファイルを取得し、Excelで開いて本ケースの期待結果を確認する。異常系はファイルが取得されないことを確認する。</x:v>
      </x:c>
      <x:c r="F45" s="10" t="str">
        <x:v>1. 2行目から最終行まで、A列〜O列が、外枠と、列と列の間の縦線で囲まれている。
2. 行と行の間に細い横線が付いている。
3. 最終行の下の行に枠線が付いていない。
4. P列以降に枠線が付いていない。</x:v>
      </x:c>
      <x:c r="G45" s="10" t="str">
        <x:v>－</x:v>
      </x:c>
      <x:c r="H45" s="10"/>
      <x:c r="I45" s="10"/>
      <x:c r="J45" s="13"/>
      <x:c r="K45" s="10"/>
      <x:c r="L45" s="10"/>
      <x:c r="M45" s="10"/>
      <x:c r="N45" s="13"/>
      <x:c r="O45" s="10" t="str">
        <x:f>IF(L45&lt;&gt;"",L45,IF(H45="","未実施",H45))</x:f>
        <x:v>未実施</x:v>
      </x:c>
      <x:c r="P45" s="10" t="str">
        <x:v>Web根拠：Mcm3003uExcelService.java／Mcm3003uController.java。VB比較対象：Mcm3003pExcel.vb・Constant.vbと起動元画面。対応する機能条件は末尾の根拠一覧参照。</x:v>
      </x:c>
    </x:row>
    <x:row r="46" ht="148" customHeight="1">
      <x:c r="A46" s="10" t="str">
        <x:v>3003P-18</x:v>
      </x:c>
      <x:c r="B46" s="10" t="str">
        <x:v>0件</x:v>
      </x:c>
      <x:c r="C46" s="10" t="str">
        <x:v>MCM3003U：出力対象が0件のときに「作業用リスト出力」を押下した場合</x:v>
      </x:c>
      <x:c r="D46" s="10" t="str">
        <x:v>【前提条件】
・点検データが1件もない期間（例：契約期間と関係のない将来の月）が分かっている。</x:v>
      </x:c>
      <x:c r="E46" s="10" t="str">
        <x:v>1. メニュー(MCM0001U)で「保守点検出力指示」ボタンを押下し、MCM3003Uを表示する。
2. 「点検対象月」の開始と終了に、点検データがない月を入力する。
3. 「全件出力」を選択する。
4. 「作業用リスト出力」ボタンを押下する。
5. 表示されたメッセージの内容を確認し、「OK」を押下する。
6. 共通手順W01に従い対象ファイルを取得し、Excelで開いて本ケースの期待結果を確認する。異常系はファイルが取得されないことを確認する。</x:v>
      </x:c>
      <x:c r="F46" s="10" t="str">
        <x:v>1. メッセージ「検索結果が1件も存在しません。」をWeb画面で通知する。</x:v>
      </x:c>
      <x:c r="G46" s="10" t="str">
        <x:v>Web画面の通知を確認する。対応する内容：検索結果が1件も存在しません。（VBのダイアログタイトル・アイコン・メッセージIDは合否対象外）</x:v>
      </x:c>
      <x:c r="H46" s="10"/>
      <x:c r="I46" s="10"/>
      <x:c r="J46" s="13"/>
      <x:c r="K46" s="10"/>
      <x:c r="L46" s="10"/>
      <x:c r="M46" s="10"/>
      <x:c r="N46" s="13"/>
      <x:c r="O46" s="10" t="str">
        <x:f>IF(L46&lt;&gt;"",L46,IF(H46="","未実施",H46))</x:f>
        <x:v>未実施</x:v>
      </x:c>
      <x:c r="P46" s="10" t="str">
        <x:v>Web根拠：Mcm3003uExcelService.java／Mcm3003uController.java。VB比較対象：Mcm3003pExcel.vb・Constant.vbと起動元画面。対応する機能条件は末尾の根拠一覧参照。原案に推定・実機記録項目あり。判断基準は下記訂正またはQ一覧で管理。</x:v>
      </x:c>
    </x:row>
    <x:row r="47" ht="134" customHeight="1">
      <x:c r="A47" s="10" t="str">
        <x:v>3003P-19</x:v>
      </x:c>
      <x:c r="B47" s="10" t="str">
        <x:v>入力</x:v>
      </x:c>
      <x:c r="C47" s="10" t="str">
        <x:v>MCM3003U：「点検対象月」の開始が未入力のまま「作業用リスト出力」を押下した場合</x:v>
      </x:c>
      <x:c r="D47" s="10" t="str">
        <x:v>【前提条件】
・共通の前提のとおり。</x:v>
      </x:c>
      <x:c r="E47" s="10" t="str">
        <x:v>1. メニュー(MCM0001U)で「保守点検出力指示」ボタンを押下し、MCM3003Uを表示する。
2. 「点検対象月」の開始の入力欄を空にする（終了は初期値のままにする）。
3. 「全件出力」を選択する。
4. 「作業用リスト出力」ボタンを押下する。
5. 共通手順W01に従い対象ファイルを取得し、Excelで開いて本ケースの期待結果を確認する。異常系はファイルが取得されないことを確認する。</x:v>
      </x:c>
      <x:c r="F47" s="10" t="str">
        <x:v>メッセージ「点検対象月は必ず入力してください。」をWeb画面で通知する。
その入力不備で出力を中止し、帳票・ZIPを取得させない。書式変換例外や別の0件通知が連続しない。</x:v>
      </x:c>
      <x:c r="G47" s="10" t="str">
        <x:v>Web画面の通知を確認する。対応する内容：点検対象月は必ず入力してください。（VBのダイアログタイトル・アイコン・メッセージIDは合否対象外）</x:v>
      </x:c>
      <x:c r="H47" s="10"/>
      <x:c r="I47" s="10"/>
      <x:c r="J47" s="13"/>
      <x:c r="K47" s="10"/>
      <x:c r="L47" s="10"/>
      <x:c r="M47" s="10"/>
      <x:c r="N47" s="13"/>
      <x:c r="O47" s="10" t="str">
        <x:f>IF(L47&lt;&gt;"",L47,IF(H47="","未実施",H47))</x:f>
        <x:v>未実施</x:v>
      </x:c>
      <x:c r="P47" s="10" t="str">
        <x:v>原案の「Returnがないので処理が続く」は訂正。VB共通の末尾E通知は例外で中止。Webの必須・書式検査で同じ不備を止める。</x:v>
      </x:c>
    </x:row>
    <x:row r="48" ht="134" customHeight="1">
      <x:c r="A48" s="10" t="str">
        <x:v>3003P-20</x:v>
      </x:c>
      <x:c r="B48" s="10" t="str">
        <x:v>入力</x:v>
      </x:c>
      <x:c r="C48" s="10" t="str">
        <x:v>MCM3003U：「点検対象月」の書式が誤っている場合</x:v>
      </x:c>
      <x:c r="D48" s="10" t="str">
        <x:v>【前提条件】
・共通の前提のとおり。</x:v>
      </x:c>
      <x:c r="E48" s="10" t="str">
        <x:v>1. メニュー(MCM0001U)で「保守点検出力指示」ボタンを押下し、MCM3003Uを表示する。
2. 「点検対象月」の開始に「2026/13」を入力し、終了は初期値のままにする。
3. 「全件出力」を選択する。
4. 「作業用リスト出力」ボタンを押下する。
5. 共通手順W01に従い対象ファイルを取得し、Excelで開いて本ケースの期待結果を確認する。異常系はファイルが取得されないことを確認する。</x:v>
      </x:c>
      <x:c r="F48" s="10" t="str">
        <x:v>点検対象月はYYYY/MMで書式を入力してください。をWeb画面で通知して処理を中止し、ファイルを取得させない。</x:v>
      </x:c>
      <x:c r="G48" s="10" t="str">
        <x:v>点検対象月はYYYY/MMで書式を入力してください。</x:v>
      </x:c>
      <x:c r="H48" s="10"/>
      <x:c r="I48" s="10"/>
      <x:c r="J48" s="13"/>
      <x:c r="K48" s="10"/>
      <x:c r="L48" s="10"/>
      <x:c r="M48" s="10"/>
      <x:c r="N48" s="13"/>
      <x:c r="O48" s="10" t="str">
        <x:f>IF(L48&lt;&gt;"",L48,IF(H48="","未実施",H48))</x:f>
        <x:v>未実施</x:v>
      </x:c>
      <x:c r="P48" s="10" t="str">
        <x:v>原案の「Returnがないので処理が続く」は訂正。VB共通の末尾E通知は例外で中止。Webの必須・書式検査で同じ不備を止める。</x:v>
      </x:c>
    </x:row>
    <x:row r="49" ht="134" customHeight="1">
      <x:c r="A49" s="10" t="str">
        <x:v>3003P-21</x:v>
      </x:c>
      <x:c r="B49" s="10" t="str">
        <x:v>入力</x:v>
      </x:c>
      <x:c r="C49" s="10" t="str">
        <x:v>MCM3003U：差分出力で、出力対象日付が開始・終了とも未入力のまま「作業用リスト出力」を押下した場合</x:v>
      </x:c>
      <x:c r="D49" s="10" t="str">
        <x:v>【前提条件】
・共通の前提のとおり。</x:v>
      </x:c>
      <x:c r="E49" s="10" t="str">
        <x:v>1. メニュー(MCM0001U)で「保守点検出力指示」ボタンを押下し、MCM3003Uを表示する。
2. 「点検対象月」の開始と終了に、対象期間の月を入力する。
3. 「差分出力」を選択し、「出力対象日付」の開始と終了を空のままにする。
4. 「作業用リスト出力」ボタンを押下する。
5. 共通手順W01に従い対象ファイルを取得し、Excelで開いて本ケースの期待結果を確認する。異常系はファイルが取得されないことを確認する。</x:v>
      </x:c>
      <x:c r="F49" s="10" t="str">
        <x:v>メッセージ「出力対象日付は必ず入力してください。」をWeb画面で通知する。
その入力不備で出力を中止し、帳票・ZIPを取得させない。書式変換例外や別の0件通知が連続しない。</x:v>
      </x:c>
      <x:c r="G49" s="10" t="str">
        <x:v>Web画面の通知を確認する。対応する内容：出力対象日付は必ず入力してください。（VBのダイアログタイトル・アイコン・メッセージIDは合否対象外）</x:v>
      </x:c>
      <x:c r="H49" s="10"/>
      <x:c r="I49" s="10"/>
      <x:c r="J49" s="13"/>
      <x:c r="K49" s="10"/>
      <x:c r="L49" s="10"/>
      <x:c r="M49" s="10"/>
      <x:c r="N49" s="13"/>
      <x:c r="O49" s="10" t="str">
        <x:f>IF(L49&lt;&gt;"",L49,IF(H49="","未実施",H49))</x:f>
        <x:v>未実施</x:v>
      </x:c>
      <x:c r="P49" s="10" t="str">
        <x:v>原案の「Returnがないので処理が続く」は訂正。VB共通の末尾E通知は例外で中止。Webの必須・書式検査で同じ不備を止める。</x:v>
      </x:c>
    </x:row>
    <x:row r="50" ht="134" customHeight="1">
      <x:c r="A50" s="10" t="str">
        <x:v>3003P-22</x:v>
      </x:c>
      <x:c r="B50" s="10" t="str">
        <x:v>入力</x:v>
      </x:c>
      <x:c r="C50" s="10" t="str">
        <x:v>MCM3003U：差分出力で、出力対象日付の書式が誤っている場合</x:v>
      </x:c>
      <x:c r="D50" s="10" t="str">
        <x:v>【前提条件】
・共通の前提のとおり。</x:v>
      </x:c>
      <x:c r="E50" s="10" t="str">
        <x:v>1. メニュー(MCM0001U)で「保守点検出力指示」ボタンを押下し、MCM3003Uを表示する。
2. 「点検対象月」の開始と終了に、対象期間の月を入力する。
3. 「差分出力」を選択し、「出力対象日付」の開始に「2026/10/32」を入力する。
4. 「作業用リスト出力」ボタンを押下する。
5. 共通手順W01に従い対象ファイルを取得し、Excelで開いて本ケースの期待結果を確認する。異常系はファイルが取得されないことを確認する。</x:v>
      </x:c>
      <x:c r="F50" s="10" t="str">
        <x:v>出力対象日付はYYYY/MM/DDで書式を入力してください。をWeb画面で通知して処理を中止し、ファイルを取得させない。</x:v>
      </x:c>
      <x:c r="G50" s="10" t="str">
        <x:v>出力対象日付はYYYY/MM/DDで書式を入力してください。</x:v>
      </x:c>
      <x:c r="H50" s="10"/>
      <x:c r="I50" s="10"/>
      <x:c r="J50" s="13"/>
      <x:c r="K50" s="10"/>
      <x:c r="L50" s="10"/>
      <x:c r="M50" s="10"/>
      <x:c r="N50" s="13"/>
      <x:c r="O50" s="10" t="str">
        <x:f>IF(L50&lt;&gt;"",L50,IF(H50="","未実施",H50))</x:f>
        <x:v>未実施</x:v>
      </x:c>
      <x:c r="P50" s="10" t="str">
        <x:v>原案の「Returnがないので処理が続く」は訂正。VB共通の末尾E通知は例外で中止。Webの必須・書式検査で同じ不備を止める。</x:v>
      </x:c>
    </x:row>
    <x:row r="51" ht="148" customHeight="1">
      <x:c r="A51" s="10" t="str">
        <x:v>3003P-23</x:v>
      </x:c>
      <x:c r="B51" s="10" t="str">
        <x:v>権限</x:v>
      </x:c>
      <x:c r="C51" s="10" t="str">
        <x:v>MCM3003U(保守点検出力指示)：参照のみ権限のユーザーでも「作業用リスト出力」が押下できる</x:v>
      </x:c>
      <x:c r="D51" s="10" t="str">
        <x:v>【前提条件】
・ログインユーザーの「保守点検出力指示」の画面権限が「参照」である。【要確認：参照権限のユーザーの用意】
・共通の前提のとおり。</x:v>
      </x:c>
      <x:c r="E51" s="10" t="str">
        <x:v>1. 参照権限のユーザーでログインし、メニュー(MCM0001U)で「保守点検出力指示」ボタンを押下し、MCM3003Uを表示する。
2. 「点検対象月」の開始と終了に、対象期間の月を入力し、「全件出力」を選択する。
3. 「作業用リスト出力」ボタンの状態（押下できるか、グレー表示か）を確認する。
4. 「作業用リスト出力」ボタンを押下する。
5. 共通手順W01に従い対象ファイルを取得し、Excelで開いて本ケースの期待結果を確認する。異常系はファイルが取得されないことを確認する。</x:v>
      </x:c>
      <x:c r="F51" s="10" t="str">
        <x:v>1. 「作業用リスト出力」ボタンが活性（押下できる状態）である。
2. ボタンの押下で、帳票をダウンロードできる。</x:v>
      </x:c>
      <x:c r="G51" s="10" t="str">
        <x:v>－</x:v>
      </x:c>
      <x:c r="H51" s="10"/>
      <x:c r="I51" s="10"/>
      <x:c r="J51" s="13"/>
      <x:c r="K51" s="10"/>
      <x:c r="L51" s="10"/>
      <x:c r="M51" s="10"/>
      <x:c r="N51" s="13"/>
      <x:c r="O51" s="10" t="str">
        <x:f>IF(L51&lt;&gt;"",L51,IF(H51="","未実施",H51))</x:f>
        <x:v>未実施</x:v>
      </x:c>
      <x:c r="P51" s="10" t="str">
        <x:v>Web根拠：Mcm3003uExcelService.java／Mcm3003uController.java。VB比較対象：Mcm3003pExcel.vb・Constant.vbと起動元画面。対応する機能条件は末尾の根拠一覧参照。</x:v>
      </x:c>
    </x:row>
    <x:row r="52" ht="50" customHeight="1">
      <x:c r="A52" s="10" t="str">
        <x:v>3003P-24</x:v>
      </x:c>
      <x:c r="B52" s="10" t="str">
        <x:v>追加／境界</x:v>
      </x:c>
      <x:c r="C52" s="10" t="str">
        <x:v>全件出力では無効な差分日付文字列も検査しない</x:v>
      </x:c>
      <x:c r="D52" s="10" t="str">
        <x:v>全件出力を選択し、無効・非表示の差分欄に2026/02/30またはabcが残る要求を開発者がテスト環境で準備。正常な日付範囲は3003P-8で確認済み。</x:v>
      </x:c>
      <x:c r="E52" s="10" t="str">
        <x:v>作業用リストを出力。</x:v>
      </x:c>
      <x:c r="F52" s="10" t="str">
        <x:v>無効な差分日付を理由に入力エラーにしない。点検対象月が有効なら対象月の全件を取得する。正常な差分範囲の無視は3003P-8の結果を参照する。</x:v>
      </x:c>
      <x:c r="G52" s="10" t="str">
        <x:v>－</x:v>
      </x:c>
      <x:c r="H52" s="10"/>
      <x:c r="I52" s="10"/>
      <x:c r="J52" s="13"/>
      <x:c r="K52" s="10"/>
      <x:c r="L52" s="10"/>
      <x:c r="M52" s="10"/>
      <x:c r="N52" s="13"/>
      <x:c r="O52" s="10" t="str">
        <x:f>IF(L52&lt;&gt;"",L52,IF(H52="","未実施",H52))</x:f>
        <x:v>未実施</x:v>
      </x:c>
      <x:c r="P52" s="10" t="str">
        <x:v>追加観点。Web根拠一覧参照。</x:v>
      </x:c>
    </x:row>
    <x:row r="53" ht="45" customHeight="1">
      <x:c r="A53" s="10" t="str">
        <x:v>3003P-25</x:v>
      </x:c>
      <x:c r="B53" s="10" t="str">
        <x:v>追加／境界</x:v>
      </x:c>
      <x:c r="C53" s="10" t="str">
        <x:v>横持ち帳票との元レコード一致</x:v>
      </x:c>
      <x:c r="D53" s="10" t="str">
        <x:v>同じ条件で3002P・3003Pを出力。複数機器とJOIN重複候補を含む。</x:v>
      </x:c>
      <x:c r="E53" s="10" t="str">
        <x:v>3002Pの各機器枠を展開して3003Pの各行と照合。</x:v>
      </x:c>
      <x:c r="F53" s="10" t="str">
        <x:v>DISTINCT後の機器・契約・月が一致。横持ち行数と縦持ち行数を直接一致させない。</x:v>
      </x:c>
      <x:c r="G53" s="10" t="str">
        <x:v>－</x:v>
      </x:c>
      <x:c r="H53" s="10"/>
      <x:c r="I53" s="10"/>
      <x:c r="J53" s="13"/>
      <x:c r="K53" s="10"/>
      <x:c r="L53" s="10"/>
      <x:c r="M53" s="10"/>
      <x:c r="N53" s="13"/>
      <x:c r="O53" s="10" t="str">
        <x:f>IF(L53&lt;&gt;"",L53,IF(H53="","未実施",H53))</x:f>
        <x:v>未実施</x:v>
      </x:c>
      <x:c r="P53" s="10" t="str">
        <x:v>追加観点。Web根拠一覧参照。</x:v>
      </x:c>
    </x:row>
    <x:row r="54" ht="45" customHeight="1">
      <x:c r="A54" s="10" t="str">
        <x:v>3003P-26</x:v>
      </x:c>
      <x:c r="B54" s="10" t="str">
        <x:v>追加／境界</x:v>
      </x:c>
      <x:c r="C54" s="10" t="str">
        <x:v>点検月の末日・うるう年とNULL解約日</x:v>
      </x:c>
      <x:c r="D54" s="10" t="str">
        <x:v>2028/02末月、期間外2028/03、解約日NULLの対象を準備。</x:v>
      </x:c>
      <x:c r="E54" s="10" t="str">
        <x:v>対象月2028/02で作業用リスト出力。</x:v>
      </x:c>
      <x:c r="F54" s="10" t="str">
        <x:v>2月分だけを含み、NULL解約日は空欄。点検月・契約日・解約日の日付書式が各列に対応する。</x:v>
      </x:c>
      <x:c r="G54" s="10" t="str">
        <x:v>－</x:v>
      </x:c>
      <x:c r="H54" s="10"/>
      <x:c r="I54" s="10"/>
      <x:c r="J54" s="13"/>
      <x:c r="K54" s="10"/>
      <x:c r="L54" s="10"/>
      <x:c r="M54" s="10"/>
      <x:c r="N54" s="13"/>
      <x:c r="O54" s="10" t="str">
        <x:f>IF(L54&lt;&gt;"",L54,IF(H54="","未実施",H54))</x:f>
        <x:v>未実施</x:v>
      </x:c>
      <x:c r="P54" s="10" t="str">
        <x:v>追加観点。Web根拠一覧参照。</x:v>
      </x:c>
    </x:row>
  </x:sheetData>
  <x:mergeCells>
    <x:mergeCell ref="A1:P1"/>
    <x:mergeCell ref="A3:C3"/>
    <x:mergeCell ref="D3:P3"/>
    <x:mergeCell ref="A4:C4"/>
    <x:mergeCell ref="D4:P4"/>
    <x:mergeCell ref="A6:P6"/>
    <x:mergeCell ref="A7:C7"/>
    <x:mergeCell ref="D7:P7"/>
    <x:mergeCell ref="A8:C8"/>
    <x:mergeCell ref="D8:P8"/>
    <x:mergeCell ref="A9:C9"/>
    <x:mergeCell ref="D9:P9"/>
    <x:mergeCell ref="A10:C10"/>
    <x:mergeCell ref="D10:P10"/>
    <x:mergeCell ref="A14:P14"/>
    <x:mergeCell ref="A16:C16"/>
    <x:mergeCell ref="D16:P16"/>
    <x:mergeCell ref="A17:C17"/>
    <x:mergeCell ref="D17:P17"/>
    <x:mergeCell ref="A18:C18"/>
    <x:mergeCell ref="D18:P18"/>
    <x:mergeCell ref="A20:C20"/>
    <x:mergeCell ref="D20:P20"/>
    <x:mergeCell ref="A26:P26"/>
  </x:mergeCells>
  <x:dataValidations count="2">
    <x:dataValidation type="list" sqref="H29:H54">
      <x:formula1>"未実施,OK,NG,保留,対象外"</x:formula1>
    </x:dataValidation>
    <x:dataValidation type="list" sqref="L29:L54">
      <x:formula1>"未実施,OK,NG,保留,対象外"</x:formula1>
    </x:dataValidation>
  </x:dataValidations>
  <x:pageMargins left="0.7" right="0.7" top="0.75" bottom="0.75" header="0.3" footer="0.3"/>
</x:worksheet>
</file>

<file path=xl/worksheets/sheet13.xml><?xml version="1.0" encoding="utf-8"?>
<x:worksheet xmlns:x="http://schemas.openxmlformats.org/spreadsheetml/2006/main">
  <x:sheetViews>
    <x:sheetView showGridLines="0" workbookViewId="0">
      <x:pane ySplit="27" topLeftCell="A28" activePane="bottomLeft" state="frozen"/>
    </x:sheetView>
  </x:sheetViews>
  <x:sheetFormatPr defaultRowHeight="15"/>
  <x:cols>
    <x:col min="1" max="1" width="13" hidden="0" customWidth="1"/>
    <x:col min="2" max="2" width="14" hidden="0" customWidth="1"/>
    <x:col min="3" max="3" width="44" hidden="0" customWidth="1"/>
    <x:col min="4" max="4" width="52" hidden="0" customWidth="1"/>
    <x:col min="5" max="5" width="60" hidden="0" customWidth="1"/>
    <x:col min="6" max="6" width="64" hidden="0" customWidth="1"/>
    <x:col min="7" max="7" width="40" hidden="0" customWidth="1"/>
    <x:col min="8" max="8" width="12" hidden="0" customWidth="1"/>
    <x:col min="9" max="9" width="14" hidden="0" customWidth="1"/>
    <x:col min="10" max="10" width="15" hidden="0" customWidth="1"/>
    <x:col min="11" max="11" width="40" hidden="0" customWidth="1"/>
    <x:col min="12" max="12" width="14" hidden="0" customWidth="1"/>
    <x:col min="13" max="13" width="17" hidden="0" customWidth="1"/>
    <x:col min="14" max="14" width="17" hidden="0" customWidth="1"/>
    <x:col min="15" max="15" width="13" hidden="0" customWidth="1"/>
    <x:col min="16" max="16" width="54" hidden="0" customWidth="1"/>
  </x:cols>
  <x:sheetData>
    <x:row r="1" ht="26" customHeight="1">
      <x:c r="A1" s="4" t="str">
        <x:v>MCM3004P_作業内容一覧 単体テスト仕様書</x:v>
      </x:c>
      <x:c r="B1" s="4"/>
      <x:c r="C1" s="4"/>
      <x:c r="D1" s="4"/>
      <x:c r="E1" s="4"/>
      <x:c r="F1" s="4"/>
      <x:c r="G1" s="4"/>
      <x:c r="H1" s="4"/>
      <x:c r="I1" s="4"/>
      <x:c r="J1" s="4"/>
      <x:c r="K1" s="4"/>
      <x:c r="L1" s="4"/>
      <x:c r="M1" s="4"/>
      <x:c r="N1" s="4"/>
      <x:c r="O1" s="4"/>
      <x:c r="P1" s="4"/>
    </x:row>
    <x:row r="2">
      <x:c r="A2" s="3"/>
      <x:c r="B2" s="3"/>
      <x:c r="C2" s="3"/>
      <x:c r="D2" s="3"/>
      <x:c r="E2" s="3"/>
      <x:c r="F2" s="3"/>
      <x:c r="G2" s="3"/>
      <x:c r="H2" s="3"/>
      <x:c r="I2" s="3"/>
      <x:c r="J2" s="3"/>
      <x:c r="K2" s="3"/>
      <x:c r="L2" s="3"/>
      <x:c r="M2" s="3"/>
      <x:c r="N2" s="3"/>
      <x:c r="O2" s="3"/>
      <x:c r="P2" s="3"/>
    </x:row>
    <x:row r="3" ht="34" customHeight="1">
      <x:c r="A3" s="3" t="str">
        <x:v>画面情報</x:v>
      </x:c>
      <x:c r="B3" s="3"/>
      <x:c r="C3" s="3"/>
      <x:c r="D3" s="3" t="str">
        <x:v>起点：作業予定検索（MCM3004U）で対象タブを検索後「Excel出力」。</x:v>
      </x:c>
      <x:c r="E3" s="3"/>
      <x:c r="F3" s="3"/>
      <x:c r="G3" s="3"/>
      <x:c r="H3" s="3"/>
      <x:c r="I3" s="3"/>
      <x:c r="J3" s="3"/>
      <x:c r="K3" s="3"/>
      <x:c r="L3" s="3"/>
      <x:c r="M3" s="3"/>
      <x:c r="N3" s="3"/>
      <x:c r="O3" s="3"/>
      <x:c r="P3" s="3"/>
    </x:row>
    <x:row r="4" ht="48" customHeight="1">
      <x:c r="A4" s="3" t="str">
        <x:v>出力形式・名称</x:v>
      </x:c>
      <x:c r="B4" s="3"/>
      <x:c r="C4" s="3"/>
      <x:c r="D4" s="3" t="str">
        <x:v>取得形式／名前：タブ1〜9：ユーザ契約終息確認.xlsx／取引先契約終息確認.xlsx／個体終息確認_通常更新.xlsx／個体終息確認_契約完了.xlsx／契約差異確認.xlsx／不足製番確認.xlsx／備忘録.xlsx／バッテリー交換.xlsx／取引先製番確認.xlsx。共通W01〜W06も実施する。</x:v>
      </x:c>
      <x:c r="E4" s="3"/>
      <x:c r="F4" s="3"/>
      <x:c r="G4" s="3"/>
      <x:c r="H4" s="3"/>
      <x:c r="I4" s="3"/>
      <x:c r="J4" s="3"/>
      <x:c r="K4" s="3"/>
      <x:c r="L4" s="3"/>
      <x:c r="M4" s="3"/>
      <x:c r="N4" s="3"/>
      <x:c r="O4" s="3"/>
      <x:c r="P4" s="3"/>
    </x:row>
    <x:row r="5">
      <x:c r="A5" s="3"/>
      <x:c r="B5" s="3"/>
      <x:c r="C5" s="3"/>
      <x:c r="D5" s="3"/>
      <x:c r="E5" s="3"/>
      <x:c r="F5" s="3"/>
      <x:c r="G5" s="3"/>
      <x:c r="H5" s="3"/>
      <x:c r="I5" s="3"/>
      <x:c r="J5" s="3"/>
      <x:c r="K5" s="3"/>
      <x:c r="L5" s="3"/>
      <x:c r="M5" s="3"/>
      <x:c r="N5" s="3"/>
      <x:c r="O5" s="3"/>
      <x:c r="P5" s="3"/>
    </x:row>
    <x:row r="6">
      <x:c r="A6" s="6" t="str">
        <x:v>根拠ソース</x:v>
      </x:c>
      <x:c r="B6" s="6" t="str">
        <x:v>根拠ソース</x:v>
      </x:c>
      <x:c r="C6" s="6" t="str">
        <x:v>根拠ソース</x:v>
      </x:c>
      <x:c r="D6" s="6" t="str">
        <x:v>根拠ソース</x:v>
      </x:c>
      <x:c r="E6" s="6" t="str">
        <x:v>根拠ソース</x:v>
      </x:c>
      <x:c r="F6" s="6" t="str">
        <x:v>根拠ソース</x:v>
      </x:c>
      <x:c r="G6" s="6" t="str">
        <x:v>根拠ソース</x:v>
      </x:c>
      <x:c r="H6" s="6" t="str">
        <x:v>根拠ソース</x:v>
      </x:c>
      <x:c r="I6" s="6" t="str">
        <x:v>根拠ソース</x:v>
      </x:c>
      <x:c r="J6" s="6" t="str">
        <x:v>根拠ソース</x:v>
      </x:c>
      <x:c r="K6" s="6" t="str">
        <x:v>根拠ソース</x:v>
      </x:c>
      <x:c r="L6" s="6" t="str">
        <x:v>根拠ソース</x:v>
      </x:c>
      <x:c r="M6" s="6" t="str">
        <x:v>根拠ソース</x:v>
      </x:c>
      <x:c r="N6" s="6" t="str">
        <x:v>根拠ソース</x:v>
      </x:c>
      <x:c r="O6" s="6" t="str">
        <x:v>根拠ソース</x:v>
      </x:c>
      <x:c r="P6" s="6" t="str">
        <x:v>根拠ソース</x:v>
      </x:c>
    </x:row>
    <x:row r="7" ht="26" customHeight="1">
      <x:c r="A7" s="3" t="str">
        <x:v>VB版</x:v>
      </x:c>
      <x:c r="B7" s="3"/>
      <x:c r="C7" s="3"/>
      <x:c r="D7" s="3" t="str">
        <x:v>帳票のExcel.vb・Constant.vb／起動元イベント。既知不具合は再現を合格にしない。</x:v>
      </x:c>
      <x:c r="E7" s="3"/>
      <x:c r="F7" s="3"/>
      <x:c r="G7" s="3"/>
      <x:c r="H7" s="3"/>
      <x:c r="I7" s="3"/>
      <x:c r="J7" s="3"/>
      <x:c r="K7" s="3"/>
      <x:c r="L7" s="3"/>
      <x:c r="M7" s="3"/>
      <x:c r="N7" s="3"/>
      <x:c r="O7" s="3"/>
      <x:c r="P7" s="3"/>
    </x:row>
    <x:row r="8" ht="26" customHeight="1">
      <x:c r="A8" s="3" t="str">
        <x:v>Java版</x:v>
      </x:c>
      <x:c r="B8" s="3"/>
      <x:c r="C8" s="3"/>
      <x:c r="D8" s="3" t="str">
        <x:v>最新Webの帳票Service・起動元Controller。本文の備考／根拠欄とMD末尾を参照。</x:v>
      </x:c>
      <x:c r="E8" s="3"/>
      <x:c r="F8" s="3"/>
      <x:c r="G8" s="3"/>
      <x:c r="H8" s="3"/>
      <x:c r="I8" s="3"/>
      <x:c r="J8" s="3"/>
      <x:c r="K8" s="3"/>
      <x:c r="L8" s="3"/>
      <x:c r="M8" s="3"/>
      <x:c r="N8" s="3"/>
      <x:c r="O8" s="3"/>
      <x:c r="P8" s="3"/>
    </x:row>
    <x:row r="9" ht="26" customHeight="1">
      <x:c r="A9" s="3" t="str">
        <x:v>メッセージ</x:v>
      </x:c>
      <x:c r="B9" s="3"/>
      <x:c r="C9" s="3"/>
      <x:c r="D9" s="3" t="str">
        <x:v>Web画面の通知で判断。VBのネイティブダイアログ・Excel自動起動を要求しない。</x:v>
      </x:c>
      <x:c r="E9" s="3"/>
      <x:c r="F9" s="3"/>
      <x:c r="G9" s="3"/>
      <x:c r="H9" s="3"/>
      <x:c r="I9" s="3"/>
      <x:c r="J9" s="3"/>
      <x:c r="K9" s="3"/>
      <x:c r="L9" s="3"/>
      <x:c r="M9" s="3"/>
      <x:c r="N9" s="3"/>
      <x:c r="O9" s="3"/>
      <x:c r="P9" s="3"/>
    </x:row>
    <x:row r="10" ht="26" customHeight="1">
      <x:c r="A10" s="3" t="str">
        <x:v>参照資料</x:v>
      </x:c>
      <x:c r="B10" s="3"/>
      <x:c r="C10" s="3"/>
      <x:c r="D10" s="3" t="str">
        <x:v>同梱MDの共通確認・F01〜F04・Q01〜Q06。正式な実機確認結果はこれから記入する。</x:v>
      </x:c>
      <x:c r="E10" s="3"/>
      <x:c r="F10" s="3"/>
      <x:c r="G10" s="3"/>
      <x:c r="H10" s="3"/>
      <x:c r="I10" s="3"/>
      <x:c r="J10" s="3"/>
      <x:c r="K10" s="3"/>
      <x:c r="L10" s="3"/>
      <x:c r="M10" s="3"/>
      <x:c r="N10" s="3"/>
      <x:c r="O10" s="3"/>
      <x:c r="P10" s="3"/>
    </x:row>
    <x:row r="11">
      <x:c r="A11" s="3"/>
      <x:c r="B11" s="3"/>
      <x:c r="C11" s="3"/>
      <x:c r="D11" s="3"/>
      <x:c r="E11" s="3"/>
      <x:c r="F11" s="3"/>
      <x:c r="G11" s="3"/>
      <x:c r="H11" s="3"/>
      <x:c r="I11" s="3"/>
      <x:c r="J11" s="3"/>
      <x:c r="K11" s="3"/>
      <x:c r="L11" s="3"/>
      <x:c r="M11" s="3"/>
      <x:c r="N11" s="3"/>
      <x:c r="O11" s="3"/>
      <x:c r="P11" s="3"/>
    </x:row>
    <x:row r="12">
      <x:c r="A12" s="3"/>
      <x:c r="B12" s="3"/>
      <x:c r="C12" s="3"/>
      <x:c r="D12" s="3"/>
      <x:c r="E12" s="3"/>
      <x:c r="F12" s="3"/>
      <x:c r="G12" s="3"/>
      <x:c r="H12" s="3"/>
      <x:c r="I12" s="3"/>
      <x:c r="J12" s="3"/>
      <x:c r="K12" s="3"/>
      <x:c r="L12" s="3"/>
      <x:c r="M12" s="3"/>
      <x:c r="N12" s="3"/>
      <x:c r="O12" s="3"/>
      <x:c r="P12" s="3"/>
    </x:row>
    <x:row r="13">
      <x:c r="A13" s="3"/>
      <x:c r="B13" s="3"/>
      <x:c r="C13" s="3"/>
      <x:c r="D13" s="3"/>
      <x:c r="E13" s="3"/>
      <x:c r="F13" s="3"/>
      <x:c r="G13" s="3"/>
      <x:c r="H13" s="3"/>
      <x:c r="I13" s="3"/>
      <x:c r="J13" s="3"/>
      <x:c r="K13" s="3"/>
      <x:c r="L13" s="3"/>
      <x:c r="M13" s="3"/>
      <x:c r="N13" s="3"/>
      <x:c r="O13" s="3"/>
      <x:c r="P13" s="3"/>
    </x:row>
    <x:row r="14">
      <x:c r="A14" s="6" t="str">
        <x:v>機能一覧</x:v>
      </x:c>
      <x:c r="B14" s="6" t="str">
        <x:v>機能一覧</x:v>
      </x:c>
      <x:c r="C14" s="6" t="str">
        <x:v>機能一覧</x:v>
      </x:c>
      <x:c r="D14" s="6" t="str">
        <x:v>機能一覧</x:v>
      </x:c>
      <x:c r="E14" s="6" t="str">
        <x:v>機能一覧</x:v>
      </x:c>
      <x:c r="F14" s="6" t="str">
        <x:v>機能一覧</x:v>
      </x:c>
      <x:c r="G14" s="6" t="str">
        <x:v>機能一覧</x:v>
      </x:c>
      <x:c r="H14" s="6" t="str">
        <x:v>機能一覧</x:v>
      </x:c>
      <x:c r="I14" s="6" t="str">
        <x:v>機能一覧</x:v>
      </x:c>
      <x:c r="J14" s="6" t="str">
        <x:v>機能一覧</x:v>
      </x:c>
      <x:c r="K14" s="6" t="str">
        <x:v>機能一覧</x:v>
      </x:c>
      <x:c r="L14" s="6" t="str">
        <x:v>機能一覧</x:v>
      </x:c>
      <x:c r="M14" s="6" t="str">
        <x:v>機能一覧</x:v>
      </x:c>
      <x:c r="N14" s="6" t="str">
        <x:v>機能一覧</x:v>
      </x:c>
      <x:c r="O14" s="6" t="str">
        <x:v>機能一覧</x:v>
      </x:c>
      <x:c r="P14" s="6" t="str">
        <x:v>機能一覧</x:v>
      </x:c>
    </x:row>
    <x:row r="15">
      <x:c r="A15" s="3"/>
      <x:c r="B15" s="3"/>
      <x:c r="C15" s="3"/>
      <x:c r="D15" s="3"/>
      <x:c r="E15" s="3"/>
      <x:c r="F15" s="3"/>
      <x:c r="G15" s="3"/>
      <x:c r="H15" s="3"/>
      <x:c r="I15" s="3"/>
      <x:c r="J15" s="3"/>
      <x:c r="K15" s="3"/>
      <x:c r="L15" s="3"/>
      <x:c r="M15" s="3"/>
      <x:c r="N15" s="3"/>
      <x:c r="O15" s="3"/>
      <x:c r="P15" s="3"/>
    </x:row>
    <x:row r="16" ht="26" customHeight="1">
      <x:c r="A16" s="3" t="str">
        <x:v>1</x:v>
      </x:c>
      <x:c r="B16" s="3"/>
      <x:c r="C16" s="3"/>
      <x:c r="D16" s="3" t="str">
        <x:v>帳票の対象・項目・シート構成・表示書式・印刷の確認</x:v>
      </x:c>
      <x:c r="E16" s="3"/>
      <x:c r="F16" s="3"/>
      <x:c r="G16" s="3"/>
      <x:c r="H16" s="3"/>
      <x:c r="I16" s="3"/>
      <x:c r="J16" s="3"/>
      <x:c r="K16" s="3"/>
      <x:c r="L16" s="3"/>
      <x:c r="M16" s="3"/>
      <x:c r="N16" s="3"/>
      <x:c r="O16" s="3"/>
      <x:c r="P16" s="3"/>
    </x:row>
    <x:row r="17" ht="26" customHeight="1">
      <x:c r="A17" s="3" t="str">
        <x:v>2</x:v>
      </x:c>
      <x:c r="B17" s="3"/>
      <x:c r="C17" s="3"/>
      <x:c r="D17" s="3" t="str">
        <x:v>0件・入力不備・権限・失敗・境界・計算条件の確認</x:v>
      </x:c>
      <x:c r="E17" s="3"/>
      <x:c r="F17" s="3"/>
      <x:c r="G17" s="3"/>
      <x:c r="H17" s="3"/>
      <x:c r="I17" s="3"/>
      <x:c r="J17" s="3"/>
      <x:c r="K17" s="3"/>
      <x:c r="L17" s="3"/>
      <x:c r="M17" s="3"/>
      <x:c r="N17" s="3"/>
      <x:c r="O17" s="3"/>
      <x:c r="P17" s="3"/>
    </x:row>
    <x:row r="18" ht="26" customHeight="1">
      <x:c r="A18" s="3" t="str">
        <x:v>3</x:v>
      </x:c>
      <x:c r="B18" s="3"/>
      <x:c r="C18" s="3"/>
      <x:c r="D18" s="3" t="str">
        <x:v>共通確認を関連ケースで実施し、重複する取得操作は再利用</x:v>
      </x:c>
      <x:c r="E18" s="3"/>
      <x:c r="F18" s="3"/>
      <x:c r="G18" s="3"/>
      <x:c r="H18" s="3"/>
      <x:c r="I18" s="3"/>
      <x:c r="J18" s="3"/>
      <x:c r="K18" s="3"/>
      <x:c r="L18" s="3"/>
      <x:c r="M18" s="3"/>
      <x:c r="N18" s="3"/>
      <x:c r="O18" s="3"/>
      <x:c r="P18" s="3"/>
    </x:row>
    <x:row r="19">
      <x:c r="A19" s="3"/>
      <x:c r="B19" s="3"/>
      <x:c r="C19" s="3"/>
      <x:c r="D19" s="3"/>
      <x:c r="E19" s="3"/>
      <x:c r="F19" s="3"/>
      <x:c r="G19" s="3"/>
      <x:c r="H19" s="3"/>
      <x:c r="I19" s="3"/>
      <x:c r="J19" s="3"/>
      <x:c r="K19" s="3"/>
      <x:c r="L19" s="3"/>
      <x:c r="M19" s="3"/>
      <x:c r="N19" s="3"/>
      <x:c r="O19" s="3"/>
      <x:c r="P19" s="3"/>
    </x:row>
    <x:row r="20" ht="30" customHeight="1">
      <x:c r="A20" s="3" t="str">
        <x:v>分類</x:v>
      </x:c>
      <x:c r="B20" s="3"/>
      <x:c r="C20" s="3"/>
      <x:c r="D20" s="3" t="str">
        <x:v>出力起点／出力内容／書式／パック表示／完了表示／権限／0件／追加／境界</x:v>
      </x:c>
      <x:c r="E20" s="3"/>
      <x:c r="F20" s="3"/>
      <x:c r="G20" s="3"/>
      <x:c r="H20" s="3"/>
      <x:c r="I20" s="3"/>
      <x:c r="J20" s="3"/>
      <x:c r="K20" s="3"/>
      <x:c r="L20" s="3"/>
      <x:c r="M20" s="3"/>
      <x:c r="N20" s="3"/>
      <x:c r="O20" s="3"/>
      <x:c r="P20" s="3"/>
    </x:row>
    <x:row r="21">
      <x:c r="A21" s="3"/>
      <x:c r="B21" s="3"/>
      <x:c r="C21" s="3"/>
      <x:c r="D21" s="3"/>
      <x:c r="E21" s="3"/>
      <x:c r="F21" s="3"/>
      <x:c r="G21" s="3"/>
      <x:c r="H21" s="3"/>
      <x:c r="I21" s="3"/>
      <x:c r="J21" s="3"/>
      <x:c r="K21" s="3"/>
      <x:c r="L21" s="3"/>
      <x:c r="M21" s="3"/>
      <x:c r="N21" s="3"/>
      <x:c r="O21" s="3"/>
      <x:c r="P21" s="3"/>
    </x:row>
    <x:row r="22">
      <x:c r="A22" s="3"/>
      <x:c r="B22" s="3"/>
      <x:c r="C22" s="3"/>
      <x:c r="D22" s="3"/>
      <x:c r="E22" s="3"/>
      <x:c r="F22" s="3"/>
      <x:c r="G22" s="3"/>
      <x:c r="H22" s="3"/>
      <x:c r="I22" s="3"/>
      <x:c r="J22" s="3"/>
      <x:c r="K22" s="3"/>
      <x:c r="L22" s="3"/>
      <x:c r="M22" s="3"/>
      <x:c r="N22" s="3"/>
      <x:c r="O22" s="3"/>
      <x:c r="P22" s="3"/>
    </x:row>
    <x:row r="23">
      <x:c r="A23" s="3" t="str">
        <x:v>件数</x:v>
      </x:c>
      <x:c r="B23" s="3" t="n">
        <x:f>COUNTA(A29:A71)</x:f>
        <x:v>43</x:v>
      </x:c>
      <x:c r="C23" s="3" t="str">
        <x:v>OK</x:v>
      </x:c>
      <x:c r="D23" s="3" t="n">
        <x:f>COUNTIF(O29:O71,"OK")</x:f>
        <x:v>0</x:v>
      </x:c>
      <x:c r="E23" s="3" t="str">
        <x:v>NG</x:v>
      </x:c>
      <x:c r="F23" s="3" t="n">
        <x:f>COUNTIF(O29:O71,"NG")</x:f>
        <x:v>0</x:v>
      </x:c>
      <x:c r="G23" s="3" t="str">
        <x:v>未実施</x:v>
      </x:c>
      <x:c r="H23" s="3" t="n">
        <x:f>COUNTIF(O29:O71,"未実施")</x:f>
        <x:v>43</x:v>
      </x:c>
      <x:c r="I23" s="3"/>
      <x:c r="J23" s="3"/>
      <x:c r="K23" s="3"/>
      <x:c r="L23" s="3"/>
      <x:c r="M23" s="3"/>
      <x:c r="N23" s="3"/>
      <x:c r="O23" s="3"/>
      <x:c r="P23" s="3"/>
    </x:row>
    <x:row r="24">
      <x:c r="A24" s="3"/>
      <x:c r="B24" s="3"/>
      <x:c r="C24" s="3"/>
      <x:c r="D24" s="3"/>
      <x:c r="E24" s="3"/>
      <x:c r="F24" s="3"/>
      <x:c r="G24" s="3"/>
      <x:c r="H24" s="3"/>
      <x:c r="I24" s="3"/>
      <x:c r="J24" s="3"/>
      <x:c r="K24" s="3"/>
      <x:c r="L24" s="3"/>
      <x:c r="M24" s="3"/>
      <x:c r="N24" s="3"/>
      <x:c r="O24" s="3"/>
      <x:c r="P24" s="3"/>
    </x:row>
    <x:row r="25">
      <x:c r="A25" s="3"/>
      <x:c r="B25" s="3"/>
      <x:c r="C25" s="3"/>
      <x:c r="D25" s="3"/>
      <x:c r="E25" s="3"/>
      <x:c r="F25" s="3"/>
      <x:c r="G25" s="3"/>
      <x:c r="H25" s="3"/>
      <x:c r="I25" s="3"/>
      <x:c r="J25" s="3"/>
      <x:c r="K25" s="3"/>
      <x:c r="L25" s="3"/>
      <x:c r="M25" s="3"/>
      <x:c r="N25" s="3"/>
      <x:c r="O25" s="3"/>
      <x:c r="P25" s="3"/>
    </x:row>
    <x:row r="26">
      <x:c r="A26" s="6" t="str">
        <x:v>単体テストケース</x:v>
      </x:c>
      <x:c r="B26" s="6" t="str">
        <x:v>単体テストケース</x:v>
      </x:c>
      <x:c r="C26" s="6" t="str">
        <x:v>単体テストケース</x:v>
      </x:c>
      <x:c r="D26" s="6" t="str">
        <x:v>単体テストケース</x:v>
      </x:c>
      <x:c r="E26" s="6" t="str">
        <x:v>単体テストケース</x:v>
      </x:c>
      <x:c r="F26" s="6" t="str">
        <x:v>単体テストケース</x:v>
      </x:c>
      <x:c r="G26" s="6" t="str">
        <x:v>単体テストケース</x:v>
      </x:c>
      <x:c r="H26" s="6" t="str">
        <x:v>単体テストケース</x:v>
      </x:c>
      <x:c r="I26" s="6" t="str">
        <x:v>単体テストケース</x:v>
      </x:c>
      <x:c r="J26" s="6" t="str">
        <x:v>単体テストケース</x:v>
      </x:c>
      <x:c r="K26" s="6" t="str">
        <x:v>単体テストケース</x:v>
      </x:c>
      <x:c r="L26" s="6" t="str">
        <x:v>単体テストケース</x:v>
      </x:c>
      <x:c r="M26" s="6" t="str">
        <x:v>単体テストケース</x:v>
      </x:c>
      <x:c r="N26" s="6" t="str">
        <x:v>単体テストケース</x:v>
      </x:c>
      <x:c r="O26" s="6" t="str">
        <x:v>単体テストケース</x:v>
      </x:c>
      <x:c r="P26" s="6" t="str">
        <x:v>単体テストケース</x:v>
      </x:c>
    </x:row>
    <x:row r="27" ht="28" customHeight="1">
      <x:c r="A27" s="9" t="str">
        <x:v>項番</x:v>
      </x:c>
      <x:c r="B27" s="9" t="str">
        <x:v>分類</x:v>
      </x:c>
      <x:c r="C27" s="9" t="str">
        <x:v>テスト項目</x:v>
      </x:c>
      <x:c r="D27" s="9" t="str">
        <x:v>前提条件</x:v>
      </x:c>
      <x:c r="E27" s="9" t="str">
        <x:v>操作内容(入力値)</x:v>
      </x:c>
      <x:c r="F27" s="9" t="str">
        <x:v>期待結果</x:v>
      </x:c>
      <x:c r="G27" s="9" t="str">
        <x:v>期待メッセージ</x:v>
      </x:c>
      <x:c r="H27" s="9" t="str">
        <x:v>テスト結果</x:v>
      </x:c>
      <x:c r="I27" s="9" t="str">
        <x:v>実施者</x:v>
      </x:c>
      <x:c r="J27" s="9" t="str">
        <x:v>実施日</x:v>
      </x:c>
      <x:c r="K27" s="9" t="str">
        <x:v>不具合内容</x:v>
      </x:c>
      <x:c r="L27" s="9" t="str">
        <x:v>再テスト結果</x:v>
      </x:c>
      <x:c r="M27" s="9" t="str">
        <x:v>再テスト実施者</x:v>
      </x:c>
      <x:c r="N27" s="9" t="str">
        <x:v>再テスト実施日</x:v>
      </x:c>
      <x:c r="O27" s="9" t="str">
        <x:v>最終判定</x:v>
      </x:c>
      <x:c r="P27" s="9" t="str">
        <x:v>備考／根拠</x:v>
      </x:c>
    </x:row>
    <x:row r="28">
      <x:c r="A28" s="3"/>
      <x:c r="B28" s="3"/>
      <x:c r="C28" s="3"/>
      <x:c r="D28" s="3"/>
      <x:c r="E28" s="3"/>
      <x:c r="F28" s="3"/>
      <x:c r="G28" s="3"/>
      <x:c r="H28" s="3"/>
      <x:c r="I28" s="3"/>
      <x:c r="J28" s="3"/>
      <x:c r="K28" s="3"/>
      <x:c r="L28" s="3"/>
      <x:c r="M28" s="3"/>
      <x:c r="N28" s="3"/>
      <x:c r="O28" s="3"/>
      <x:c r="P28" s="3"/>
    </x:row>
    <x:row r="29" ht="92" customHeight="1">
      <x:c r="A29" s="10" t="str">
        <x:v>3004P-1</x:v>
      </x:c>
      <x:c r="B29" s="10" t="str">
        <x:v>出力起点</x:v>
      </x:c>
      <x:c r="C29" s="10" t="str">
        <x:v>Web取得操作：ブラウザの保存をキャンセルする</x:v>
      </x:c>
      <x:c r="D29" s="10" t="str">
        <x:v>【前提条件】
・共通の前提のとおり。
・「ユーザ契約終息確認」タブで、検索すると一覧に行が出る基準月と対象期間（例：2026/10、4）がある。
・保存先に指定するフォルダに、ユーザ契約終息確認のファイルがない。</x:v>
      </x:c>
      <x:c r="E29" s="10" t="str">
        <x:v>1. 本章の正常条件で出力する。
2. ブラウザ設定を「保存先を毎回確認」にし、保存をキャンセルする。
3. ダウンロード履歴・保存先・発行元の状態を確認する。</x:v>
      </x:c>
      <x:c r="F29" s="10" t="str">
        <x:v>キャンセルしたファイルが利用者PCに保存されない。Excelの自動起動は要求しない。ブラウザのキャンセルはアプリの発行取消ではなく、先に完了した登録・状態変更を戻さない。再取得の可否は各帳票の再発行条件に従う。</x:v>
      </x:c>
      <x:c r="G29" s="10" t="str">
        <x:v>－</x:v>
      </x:c>
      <x:c r="H29" s="10"/>
      <x:c r="I29" s="10"/>
      <x:c r="J29" s="13"/>
      <x:c r="K29" s="10"/>
      <x:c r="L29" s="10"/>
      <x:c r="M29" s="10"/>
      <x:c r="N29" s="13"/>
      <x:c r="O29" s="10" t="str">
        <x:f>IF(L29&lt;&gt;"",L29,IF(H29="","未実施",H29))</x:f>
        <x:v>未実施</x:v>
      </x:c>
      <x:c r="P29" s="10" t="str">
        <x:v>W02。2001Pは発行処理の確認取消（2001P-40）と区別。3001P／3005Pは同一ZIPの取得取消であり、帳票別の保存ダイアログはない。</x:v>
      </x:c>
    </x:row>
    <x:row r="30" ht="148" customHeight="1">
      <x:c r="A30" s="10" t="str">
        <x:v>3004P-2</x:v>
      </x:c>
      <x:c r="B30" s="10" t="str">
        <x:v>出力起点</x:v>
      </x:c>
      <x:c r="C30" s="10" t="str">
        <x:v>「ユーザ契約終息確認」タブ：「Excel出力」押下で帳票をダウンロードできる</x:v>
      </x:c>
      <x:c r="D30" s="10" t="str">
        <x:v>【前提条件】
・共通の前提のとおり。
・「ユーザ契約終息確認」タブで、検索すると一覧に行が出る基準月と対象期間（例：2026/10、4）がある。</x:v>
      </x:c>
      <x:c r="E30" s="10" t="str">
        <x:v>1. メニュー(MCM0001U)で「作業予定検索」ボタンを押下し、MCM3004Uを表示する。
2. 「ユーザ契約終息確認」タブを選択する。
3. 「基準月」の入力欄に「2026/10」、「対象期間」の入力欄に「4」を入力し、「検索」ボタンを押下して、一覧に行が表示されることを確認する。
4. 「Excel出力」ボタンを押下する。
5. 共通手順W01に従い対象ファイルを取得し、Excelで開いて本ケースの期待結果を確認する。異常系はファイルが取得されないことを確認する。</x:v>
      </x:c>
      <x:c r="F30" s="10" t="str">
        <x:v>選択したタブ1の検索結果だけを含むxlsxを取得できる。名前は本章のタブ別一覧どおり。ファイル形式の不一致警告が出ない。保存方法はブラウザ設定に従う。</x:v>
      </x:c>
      <x:c r="G30" s="10" t="str">
        <x:v>－</x:v>
      </x:c>
      <x:c r="H30" s="10"/>
      <x:c r="I30" s="10"/>
      <x:c r="J30" s="13"/>
      <x:c r="K30" s="10"/>
      <x:c r="L30" s="10"/>
      <x:c r="M30" s="10"/>
      <x:c r="N30" s="13"/>
      <x:c r="O30" s="10" t="str">
        <x:f>IF(L30&lt;&gt;"",L30,IF(H30="","未実施",H30))</x:f>
        <x:v>未実施</x:v>
      </x:c>
      <x:c r="P30" s="10" t="str">
        <x:v>Web根拠：Mcm3004pExcelService.java／Mcm3004uController.java。VB比較対象：Mcm3004pExcel.vb・Constant.vbと起動元画面。対応する機能条件は末尾の根拠一覧参照。</x:v>
      </x:c>
    </x:row>
    <x:row r="31" ht="148" customHeight="1">
      <x:c r="A31" s="10" t="str">
        <x:v>3004P-3</x:v>
      </x:c>
      <x:c r="B31" s="10" t="str">
        <x:v>出力起点</x:v>
      </x:c>
      <x:c r="C31" s="10" t="str">
        <x:v>「取引先契約終息確認」タブ：「Excel出力」押下で帳票をダウンロードできる</x:v>
      </x:c>
      <x:c r="D31" s="10" t="str">
        <x:v>【前提条件】
・共通の前提のとおり。
・「取引先契約終息確認」タブで、検索すると一覧に行が出る基準月と対象期間（例：2026/10、4）がある。</x:v>
      </x:c>
      <x:c r="E31" s="10" t="str">
        <x:v>1. メニュー(MCM0001U)で「作業予定検索」ボタンを押下し、MCM3004Uを表示する。
2. 「取引先契約終息確認」タブを選択する。
3. 「基準月」の入力欄に「2026/10」、「対象期間」の入力欄に「4」を入力し、「全て」が選択されていることを確認して、「検索」ボタンを押下し、一覧に行が表示されることを確認する。
4. 「Excel出力」ボタンを押下する。
5. 共通手順W01に従い対象ファイルを取得し、Excelで開いて本ケースの期待結果を確認する。異常系はファイルが取得されないことを確認する。</x:v>
      </x:c>
      <x:c r="F31" s="10" t="str">
        <x:v>選択したタブ2の検索結果だけを含むxlsxを取得できる。名前は本章のタブ別一覧どおり。ファイル形式の不一致警告が出ない。保存方法はブラウザ設定に従う。</x:v>
      </x:c>
      <x:c r="G31" s="10" t="str">
        <x:v>－</x:v>
      </x:c>
      <x:c r="H31" s="10"/>
      <x:c r="I31" s="10"/>
      <x:c r="J31" s="13"/>
      <x:c r="K31" s="10"/>
      <x:c r="L31" s="10"/>
      <x:c r="M31" s="10"/>
      <x:c r="N31" s="13"/>
      <x:c r="O31" s="10" t="str">
        <x:f>IF(L31&lt;&gt;"",L31,IF(H31="","未実施",H31))</x:f>
        <x:v>未実施</x:v>
      </x:c>
      <x:c r="P31" s="10" t="str">
        <x:v>Web根拠：Mcm3004pExcelService.java／Mcm3004uController.java。VB比較対象：Mcm3004pExcel.vb・Constant.vbと起動元画面。対応する機能条件は末尾の根拠一覧参照。</x:v>
      </x:c>
    </x:row>
    <x:row r="32" ht="148" customHeight="1">
      <x:c r="A32" s="10" t="str">
        <x:v>3004P-4</x:v>
      </x:c>
      <x:c r="B32" s="10" t="str">
        <x:v>出力起点</x:v>
      </x:c>
      <x:c r="C32" s="10" t="str">
        <x:v>「個体終息確認（通常更新）」タブ：「Excel出力」押下で帳票をダウンロードできる</x:v>
      </x:c>
      <x:c r="D32" s="10" t="str">
        <x:v>【前提条件】
・共通の前提のとおり。
・「個体終息確認（通常更新）」タブで、検索すると一覧に行が出る基準月と対象期間（例：2026/10、4）がある。</x:v>
      </x:c>
      <x:c r="E32" s="10" t="str">
        <x:v>1. メニュー(MCM0001U)で「作業予定検索」ボタンを押下し、MCM3004Uを表示する。
2. 「個体終息確認（通常更新）」タブを選択する。
3. 「基準月」の入力欄に「2026/10」、「対象期間」の入力欄に「4」を入力し、「検索」ボタンを押下して、一覧に行が表示されることを確認する。
4. 「Excel出力」ボタンを押下する。
5. 共通手順W01に従い対象ファイルを取得し、Excelで開いて本ケースの期待結果を確認する。異常系はファイルが取得されないことを確認する。</x:v>
      </x:c>
      <x:c r="F32" s="10" t="str">
        <x:v>選択したタブ3の検索結果だけを含むxlsxを取得できる。名前は本章のタブ別一覧どおり。ファイル形式の不一致警告が出ない。保存方法はブラウザ設定に従う。</x:v>
      </x:c>
      <x:c r="G32" s="10" t="str">
        <x:v>－</x:v>
      </x:c>
      <x:c r="H32" s="10"/>
      <x:c r="I32" s="10"/>
      <x:c r="J32" s="13"/>
      <x:c r="K32" s="10"/>
      <x:c r="L32" s="10"/>
      <x:c r="M32" s="10"/>
      <x:c r="N32" s="13"/>
      <x:c r="O32" s="10" t="str">
        <x:f>IF(L32&lt;&gt;"",L32,IF(H32="","未実施",H32))</x:f>
        <x:v>未実施</x:v>
      </x:c>
      <x:c r="P32" s="10" t="str">
        <x:v>Web根拠：Mcm3004pExcelService.java／Mcm3004uController.java。VB比較対象：Mcm3004pExcel.vb・Constant.vbと起動元画面。対応する機能条件は末尾の根拠一覧参照。</x:v>
      </x:c>
    </x:row>
    <x:row r="33" ht="148" customHeight="1">
      <x:c r="A33" s="10" t="str">
        <x:v>3004P-5</x:v>
      </x:c>
      <x:c r="B33" s="10" t="str">
        <x:v>出力起点</x:v>
      </x:c>
      <x:c r="C33" s="10" t="str">
        <x:v>「個体終息確認（契約完了）」タブ：「Excel出力」押下で帳票をダウンロードできる</x:v>
      </x:c>
      <x:c r="D33" s="10" t="str">
        <x:v>【前提条件】
・共通の前提のとおり。
・「個体終息確認（契約完了）」タブで、検索すると一覧に行が出る基準月と対象期間（例：2026/10、4）がある。</x:v>
      </x:c>
      <x:c r="E33" s="10" t="str">
        <x:v>1. メニュー(MCM0001U)で「作業予定検索」ボタンを押下し、MCM3004Uを表示する。
2. 「個体終息確認（契約完了）」タブを選択する。
3. 「基準月」の入力欄に「2026/10」、「対象期間」の入力欄に「4」を入力し、「検索」ボタンを押下して、一覧に行が表示されることを確認する。
4. 「Excel出力」ボタンを押下する。
5. 共通手順W01に従い対象ファイルを取得し、Excelで開いて本ケースの期待結果を確認する。異常系はファイルが取得されないことを確認する。</x:v>
      </x:c>
      <x:c r="F33" s="10" t="str">
        <x:v>選択したタブ4の検索結果だけを含むxlsxを取得できる。名前は本章のタブ別一覧どおり。ファイル形式の不一致警告が出ない。保存方法はブラウザ設定に従う。</x:v>
      </x:c>
      <x:c r="G33" s="10" t="str">
        <x:v>－</x:v>
      </x:c>
      <x:c r="H33" s="10"/>
      <x:c r="I33" s="10"/>
      <x:c r="J33" s="13"/>
      <x:c r="K33" s="10"/>
      <x:c r="L33" s="10"/>
      <x:c r="M33" s="10"/>
      <x:c r="N33" s="13"/>
      <x:c r="O33" s="10" t="str">
        <x:f>IF(L33&lt;&gt;"",L33,IF(H33="","未実施",H33))</x:f>
        <x:v>未実施</x:v>
      </x:c>
      <x:c r="P33" s="10" t="str">
        <x:v>Web根拠：Mcm3004pExcelService.java／Mcm3004uController.java。VB比較対象：Mcm3004pExcel.vb・Constant.vbと起動元画面。対応する機能条件は末尾の根拠一覧参照。</x:v>
      </x:c>
    </x:row>
    <x:row r="34" ht="162" customHeight="1">
      <x:c r="A34" s="10" t="str">
        <x:v>3004P-6</x:v>
      </x:c>
      <x:c r="B34" s="10" t="str">
        <x:v>出力起点</x:v>
      </x:c>
      <x:c r="C34" s="10" t="str">
        <x:v>「契約差異確認」タブ：「Excel出力」押下で帳票をダウンロードできる</x:v>
      </x:c>
      <x:c r="D34" s="10" t="str">
        <x:v>【前提条件】
・共通の前提のとおり。
・「契約差異確認」タブで、検索すると一覧に行が出る基準月と対象期間（例：2026/10、4）がある。</x:v>
      </x:c>
      <x:c r="E34" s="10" t="str">
        <x:v>1. メニュー(MCM0001U)で「作業予定検索」ボタンを押下し、MCM3004Uを表示する。
2. 「契約差異確認」タブを選択する。
3. 「基準月」の入力欄に「2026/10」、「対象期間」の入力欄に「4」を入力し、「ユーザ契約を基準に取引先契約が不足しているもの」が選択されていることを確認して、「検索」ボタンを押下し、一覧に行が表示されることを確認する。
4. 「Excel出力」ボタンを押下する。
5. 共通手順W01に従い対象ファイルを取得し、Excelで開いて本ケースの期待結果を確認する。異常系はファイルが取得されないことを確認する。</x:v>
      </x:c>
      <x:c r="F34" s="10" t="str">
        <x:v>選択したタブ5の検索結果だけを含むxlsxを取得できる。名前は本章のタブ別一覧どおり。ファイル形式の不一致警告が出ない。保存方法はブラウザ設定に従う。</x:v>
      </x:c>
      <x:c r="G34" s="10" t="str">
        <x:v>－</x:v>
      </x:c>
      <x:c r="H34" s="10"/>
      <x:c r="I34" s="10"/>
      <x:c r="J34" s="13"/>
      <x:c r="K34" s="10"/>
      <x:c r="L34" s="10"/>
      <x:c r="M34" s="10"/>
      <x:c r="N34" s="13"/>
      <x:c r="O34" s="10" t="str">
        <x:f>IF(L34&lt;&gt;"",L34,IF(H34="","未実施",H34))</x:f>
        <x:v>未実施</x:v>
      </x:c>
      <x:c r="P34" s="10" t="str">
        <x:v>Web根拠：Mcm3004pExcelService.java／Mcm3004uController.java。VB比較対象：Mcm3004pExcel.vb・Constant.vbと起動元画面。対応する機能条件は末尾の根拠一覧参照。</x:v>
      </x:c>
    </x:row>
    <x:row r="35" ht="148" customHeight="1">
      <x:c r="A35" s="10" t="str">
        <x:v>3004P-7</x:v>
      </x:c>
      <x:c r="B35" s="10" t="str">
        <x:v>出力起点</x:v>
      </x:c>
      <x:c r="C35" s="10" t="str">
        <x:v>「不足製番確認」タブ：「Excel出力」押下で帳票をダウンロードできる</x:v>
      </x:c>
      <x:c r="D35" s="10" t="str">
        <x:v>【前提条件】
・共通の前提のとおり。
・「不足製番確認」タブで、検索すると一覧に行が出る基準月と対象期間（例：2026/10、13）がある。</x:v>
      </x:c>
      <x:c r="E35" s="10" t="str">
        <x:v>1. メニュー(MCM0001U)で「作業予定検索」ボタンを押下し、MCM3004Uを表示する。
2. 「不足製番確認」タブを選択する。
3. 「基準月」の入力欄に「2026/10」、「対象期間」の入力欄に「13」を入力し、「検索」ボタンを押下して、一覧に行が表示されることを確認する。
4. 「Excel出力」ボタンを押下する。
5. 共通手順W01に従い対象ファイルを取得し、Excelで開いて本ケースの期待結果を確認する。異常系はファイルが取得されないことを確認する。</x:v>
      </x:c>
      <x:c r="F35" s="10" t="str">
        <x:v>選択したタブ6の検索結果だけを含むxlsxを取得できる。名前は本章のタブ別一覧どおり。ファイル形式の不一致警告が出ない。保存方法はブラウザ設定に従う。</x:v>
      </x:c>
      <x:c r="G35" s="10" t="str">
        <x:v>－</x:v>
      </x:c>
      <x:c r="H35" s="10"/>
      <x:c r="I35" s="10"/>
      <x:c r="J35" s="13"/>
      <x:c r="K35" s="10"/>
      <x:c r="L35" s="10"/>
      <x:c r="M35" s="10"/>
      <x:c r="N35" s="13"/>
      <x:c r="O35" s="10" t="str">
        <x:f>IF(L35&lt;&gt;"",L35,IF(H35="","未実施",H35))</x:f>
        <x:v>未実施</x:v>
      </x:c>
      <x:c r="P35" s="10" t="str">
        <x:v>Web根拠：Mcm3004pExcelService.java／Mcm3004uController.java。VB比較対象：Mcm3004pExcel.vb・Constant.vbと起動元画面。対応する機能条件は末尾の根拠一覧参照。</x:v>
      </x:c>
    </x:row>
    <x:row r="36" ht="148" customHeight="1">
      <x:c r="A36" s="10" t="str">
        <x:v>3004P-8</x:v>
      </x:c>
      <x:c r="B36" s="10" t="str">
        <x:v>出力起点</x:v>
      </x:c>
      <x:c r="C36" s="10" t="str">
        <x:v>「予定登録検索」タブ：「Excel出力」押下で帳票をダウンロードできる</x:v>
      </x:c>
      <x:c r="D36" s="10" t="str">
        <x:v>【前提条件】
・共通の前提のとおり。
・「予定登録検索」タブで、検索すると一覧に行が出る基準月と対象期間（例：2026/10、4）がある。</x:v>
      </x:c>
      <x:c r="E36" s="10" t="str">
        <x:v>1. メニュー(MCM0001U)で「作業予定検索」ボタンを押下し、MCM3004Uを表示する。
2. 「予定登録検索」タブを選択する。
3. 「基準月」の入力欄に「2026/10」、「対象期間」の入力欄に「4」を入力し、「検索」ボタンを押下して、一覧に行が表示されることを確認する。
4. 「Excel出力」ボタンを押下する。
5. 共通手順W01に従い対象ファイルを取得し、Excelで開いて本ケースの期待結果を確認する。異常系はファイルが取得されないことを確認する。</x:v>
      </x:c>
      <x:c r="F36" s="10" t="str">
        <x:v>選択したタブ7の検索結果だけを含むxlsxを取得できる。名前は本章のタブ別一覧どおり。ファイル形式の不一致警告が出ない。保存方法はブラウザ設定に従う。</x:v>
      </x:c>
      <x:c r="G36" s="10" t="str">
        <x:v>－</x:v>
      </x:c>
      <x:c r="H36" s="10"/>
      <x:c r="I36" s="10"/>
      <x:c r="J36" s="13"/>
      <x:c r="K36" s="10"/>
      <x:c r="L36" s="10"/>
      <x:c r="M36" s="10"/>
      <x:c r="N36" s="13"/>
      <x:c r="O36" s="10" t="str">
        <x:f>IF(L36&lt;&gt;"",L36,IF(H36="","未実施",H36))</x:f>
        <x:v>未実施</x:v>
      </x:c>
      <x:c r="P36" s="10" t="str">
        <x:v>Web根拠：Mcm3004pExcelService.java／Mcm3004uController.java。VB比較対象：Mcm3004pExcel.vb・Constant.vbと起動元画面。対応する機能条件は末尾の根拠一覧参照。</x:v>
      </x:c>
    </x:row>
    <x:row r="37" ht="148" customHeight="1">
      <x:c r="A37" s="10" t="str">
        <x:v>3004P-9</x:v>
      </x:c>
      <x:c r="B37" s="10" t="str">
        <x:v>出力起点</x:v>
      </x:c>
      <x:c r="C37" s="10" t="str">
        <x:v>「バッテリー交換」タブ：「Excel出力」押下で帳票をダウンロードできる</x:v>
      </x:c>
      <x:c r="D37" s="10" t="str">
        <x:v>【前提条件】
・共通の前提のとおり。
・「バッテリー交換」タブで、検索すると一覧に行が出る基準月と対象期間（例：2026/10、4）がある。</x:v>
      </x:c>
      <x:c r="E37" s="10" t="str">
        <x:v>1. メニュー(MCM0001U)で「作業予定検索」ボタンを押下し、MCM3004Uを表示する。
2. 「バッテリー交換」タブを選択する。
3. 「基準月」の入力欄に「2026/10」、「対象期間」の入力欄に「4」を入力し、「検索」ボタンを押下して、一覧に行が表示されることを確認する。
4. 「Excel出力」ボタンを押下する。
5. 共通手順W01に従い対象ファイルを取得し、Excelで開いて本ケースの期待結果を確認する。異常系はファイルが取得されないことを確認する。</x:v>
      </x:c>
      <x:c r="F37" s="10" t="str">
        <x:v>選択したタブ8の検索結果だけを含むxlsxを取得できる。名前は本章のタブ別一覧どおり。ファイル形式の不一致警告が出ない。保存方法はブラウザ設定に従う。</x:v>
      </x:c>
      <x:c r="G37" s="10" t="str">
        <x:v>－</x:v>
      </x:c>
      <x:c r="H37" s="10"/>
      <x:c r="I37" s="10"/>
      <x:c r="J37" s="13"/>
      <x:c r="K37" s="10"/>
      <x:c r="L37" s="10"/>
      <x:c r="M37" s="10"/>
      <x:c r="N37" s="13"/>
      <x:c r="O37" s="10" t="str">
        <x:f>IF(L37&lt;&gt;"",L37,IF(H37="","未実施",H37))</x:f>
        <x:v>未実施</x:v>
      </x:c>
      <x:c r="P37" s="10" t="str">
        <x:v>Web根拠：Mcm3004pExcelService.java／Mcm3004uController.java。VB比較対象：Mcm3004pExcel.vb・Constant.vbと起動元画面。対応する機能条件は末尾の根拠一覧参照。</x:v>
      </x:c>
    </x:row>
    <x:row r="38" ht="148" customHeight="1">
      <x:c r="A38" s="10" t="str">
        <x:v>3004P-10</x:v>
      </x:c>
      <x:c r="B38" s="10" t="str">
        <x:v>出力起点</x:v>
      </x:c>
      <x:c r="C38" s="10" t="str">
        <x:v>「取引先契約確認」タブ：「Excel出力」押下で帳票をダウンロードできる</x:v>
      </x:c>
      <x:c r="D38" s="10" t="str">
        <x:v>【前提条件】
・共通の前提のとおり。
・「取引先契約確認」タブで、検索すると一覧に行が出る日付（例：システム日付）がある。</x:v>
      </x:c>
      <x:c r="E38" s="10" t="str">
        <x:v>1. メニュー(MCM0001U)で「作業予定検索」ボタンを押下し、MCM3004Uを表示する。
2. 「取引先契約確認」タブを選択する。
3. 「日付」の入力欄に、一覧に行が出る日付（例：システム日付。初期値のまま）が入っていることを確認し、「検索」ボタンを押下して、一覧に行が表示されることを確認する。
4. 「Excel出力」ボタンを押下する。
5. 共通手順W01に従い対象ファイルを取得し、Excelで開いて本ケースの期待結果を確認する。異常系はファイルが取得されないことを確認する。</x:v>
      </x:c>
      <x:c r="F38" s="10" t="str">
        <x:v>選択したタブ9の検索結果だけを含むxlsxを取得できる。名前は本章のタブ別一覧どおり。ファイル形式の不一致警告が出ない。保存方法はブラウザ設定に従う。</x:v>
      </x:c>
      <x:c r="G38" s="10" t="str">
        <x:v>－</x:v>
      </x:c>
      <x:c r="H38" s="10"/>
      <x:c r="I38" s="10"/>
      <x:c r="J38" s="13"/>
      <x:c r="K38" s="10"/>
      <x:c r="L38" s="10"/>
      <x:c r="M38" s="10"/>
      <x:c r="N38" s="13"/>
      <x:c r="O38" s="10" t="str">
        <x:f>IF(L38&lt;&gt;"",L38,IF(H38="","未実施",H38))</x:f>
        <x:v>未実施</x:v>
      </x:c>
      <x:c r="P38" s="10" t="str">
        <x:v>Web根拠：Mcm3004pExcelService.java／Mcm3004uController.java。VB比較対象：Mcm3004pExcel.vb・Constant.vbと起動元画面。対応する機能条件は末尾の根拠一覧参照。</x:v>
      </x:c>
    </x:row>
    <x:row r="39" ht="204" customHeight="1">
      <x:c r="A39" s="10" t="str">
        <x:v>3004P-11</x:v>
      </x:c>
      <x:c r="B39" s="10" t="str">
        <x:v>出力内容</x:v>
      </x:c>
      <x:c r="C39" s="10" t="str">
        <x:v>「ユーザ契約終息確認」：シート名、見出し行、一覧の内容が画面のとおり出力される</x:v>
      </x:c>
      <x:c r="D39" s="10" t="str">
        <x:v>【前提条件】
・共通の前提のとおり。
・「ユーザ契約終息確認」タブで、検索すると3行以上の一覧が出る基準月と対象期間（例：2026/10、4）がある。
・納入先コードの先頭が「0」のデータを含む。【要確認：そのデータが存在するか】</x:v>
      </x:c>
      <x:c r="E39" s="10" t="str">
        <x:v>1. メニュー(MCM0001U)で「作業予定検索」ボタンを押下し、MCM3004Uを表示する。
2. 「ユーザ契約終息確認」タブを選択する。
3. 「基準月」の入力欄に「2026/10」、「対象期間」の入力欄に「4」を入力し、「検索」ボタンを押下する。
4. 一覧の見出しと、全行の全列の値を控える（行数も控える）。
5. 取得したファイルを手動で開いたExcelで、シート名、1行目、2行目以降を確認する。
6. 共通手順W01に従い対象ファイルを取得し、Excelで開いて本ケースの期待結果を確認する。異常系はファイルが取得されないことを確認する。</x:v>
      </x:c>
      <x:c r="F39" s="10" t="str">
        <x:v>1. シートが1枚だけで、シート名が「ユーザ契約終息確認」である。
2. 1行目に、左から「店舗」「担当者」「納入先コード」「納入先名」「サポートID」「プラント名」「契約番号」「契約日」「解約日」「契約満了日」「延長契約満了日」「保守方法」「保守契約時間帯」の13個の見出しが並ぶ。
3. 2行目以降のデータの行数が、控えた一覧の行数と同じである。
4. 各行の13列の値が、控えた一覧の値と一致する（保守方法は、一覧に表示されている名称のとおり）。
5. 「契約日」「解約日」「契約満了日」「延長契約満了日」の列が、「yyyy/MM/dd」の形式（例：2026/10/31）の日付で表示される。解約日が空の行は空欄である。
6. 「納入先コード」の先頭の「0」が消えずに表示される。「サポートID」「プラント名」「契約番号」が文字列として表示される。
7. 行の並びが、一覧の並びと同じである。</x:v>
      </x:c>
      <x:c r="G39" s="10" t="str">
        <x:v>－</x:v>
      </x:c>
      <x:c r="H39" s="10"/>
      <x:c r="I39" s="10"/>
      <x:c r="J39" s="13"/>
      <x:c r="K39" s="10"/>
      <x:c r="L39" s="10"/>
      <x:c r="M39" s="10"/>
      <x:c r="N39" s="13"/>
      <x:c r="O39" s="10" t="str">
        <x:f>IF(L39&lt;&gt;"",L39,IF(H39="","未実施",H39))</x:f>
        <x:v>未実施</x:v>
      </x:c>
      <x:c r="P39" s="10" t="str">
        <x:v>Web根拠：Mcm3004pExcelService.java／Mcm3004uController.java。VB比較対象：Mcm3004pExcel.vb・Constant.vbと起動元画面。対応する機能条件は末尾の根拠一覧参照。</x:v>
      </x:c>
    </x:row>
    <x:row r="40" ht="190" customHeight="1">
      <x:c r="A40" s="10" t="str">
        <x:v>3004P-12</x:v>
      </x:c>
      <x:c r="B40" s="10" t="str">
        <x:v>出力内容</x:v>
      </x:c>
      <x:c r="C40" s="10" t="str">
        <x:v>「取引先契約終息確認」：シート名、見出し行、一覧の内容が画面のとおり出力される</x:v>
      </x:c>
      <x:c r="D40" s="10" t="str">
        <x:v>【前提条件】
・共通の前提のとおり。
・「取引先契約終息確認」タブで、検索すると3行以上の一覧が出る基準月と対象期間（例：2026/10、4）がある。</x:v>
      </x:c>
      <x:c r="E40" s="10" t="str">
        <x:v>1. メニュー(MCM0001U)で「作業予定検索」ボタンを押下し、MCM3004Uを表示する。
2. 「取引先契約終息確認」タブを選択する。
3. 「基準月」の入力欄に「2026/10」、「対象期間」の入力欄に「4」を入力し、「全て」を選択して、「検索」ボタンを押下する。
4. 一覧の見出しと、全行の全列の値を控える（行数も控える）。
5. 取得したファイルを手動で開いたExcelで、シート名、1行目、2行目以降を確認する。
6. 共通手順W01に従い対象ファイルを取得し、Excelで開いて本ケースの期待結果を確認する。異常系はファイルが取得されないことを確認する。</x:v>
      </x:c>
      <x:c r="F40" s="10" t="str">
        <x:v>1. シートが1枚だけで、シート名が「取引先契約終息確認」である。
2. 1行目に、左から「取引先コード」「取引先名」「納入先コード」「納入先名」「サポートID」「プラント名」「パック」「契約番号」「契約内容」「契約日」「解約日」「契約満了日」「延長契約満了日」「保守方法」「保守契約時間帯」の15個の見出しが並ぶ。
3. 2行目以降のデータの行数が、控えた一覧の行数と同じである。
4. 「パック」以外の列の値が、控えた一覧の値と一致する（パックの表示は3004P-23で確認する）。
5. 「契約日」から「延長契約満了日」までの4列が、「yyyy/MM/dd」の形式の日付で表示される。
6. 「納入先コード」の先頭の「0」が消えずに表示される。「サポートID」「契約番号」「契約内容」が文字列として表示される。
7. 行の並びが、一覧の並びと同じである。</x:v>
      </x:c>
      <x:c r="G40" s="10" t="str">
        <x:v>－</x:v>
      </x:c>
      <x:c r="H40" s="10"/>
      <x:c r="I40" s="10"/>
      <x:c r="J40" s="13"/>
      <x:c r="K40" s="10"/>
      <x:c r="L40" s="10"/>
      <x:c r="M40" s="10"/>
      <x:c r="N40" s="13"/>
      <x:c r="O40" s="10" t="str">
        <x:f>IF(L40&lt;&gt;"",L40,IF(H40="","未実施",H40))</x:f>
        <x:v>未実施</x:v>
      </x:c>
      <x:c r="P40" s="10" t="str">
        <x:v>Web根拠：Mcm3004pExcelService.java／Mcm3004uController.java。VB比較対象：Mcm3004pExcel.vb・Constant.vbと起動元画面。対応する機能条件は末尾の根拠一覧参照。</x:v>
      </x:c>
    </x:row>
    <x:row r="41" ht="232" customHeight="1">
      <x:c r="A41" s="10" t="str">
        <x:v>3004P-13</x:v>
      </x:c>
      <x:c r="B41" s="10" t="str">
        <x:v>出力内容</x:v>
      </x:c>
      <x:c r="C41" s="10" t="str">
        <x:v>「個体終息確認（通常更新）」：シート名、見出し行、一覧の内容が画面のとおり出力される</x:v>
      </x:c>
      <x:c r="D41" s="10" t="str">
        <x:v>【前提条件】
・共通の前提のとおり。
・「個体終息確認（通常更新）」タブで、検索すると3行以上の一覧が出る基準月と対象期間（例：2026/10、4）がある。</x:v>
      </x:c>
      <x:c r="E41" s="10" t="str">
        <x:v>1. メニュー(MCM0001U)で「作業予定検索」ボタンを押下し、MCM3004Uを表示する。
2. 「個体終息確認（通常更新）」タブを選択する。
3. 「基準月」の入力欄に「2026/10」、「対象期間」の入力欄に「4」を入力し、「検索」ボタンを押下する。
4. 一覧の見出しと、全行の全列の値を控える（行数も控える）。
5. 取得したファイルを手動で開いたExcelで、シート名、1行目、2行目以降を確認する。
6. 共通手順W01に従い対象ファイルを取得し、Excelで開いて本ケースの期待結果を確認する。異常系はファイルが取得されないことを確認する。</x:v>
      </x:c>
      <x:c r="F41" s="10" t="str">
        <x:v>1. シートが1枚だけで、シート名が「個体終息確認(通常更新)」である（かっこは半角）。
2. 1行目に、左から「CD」「店舗」「サポートID」「ユーザ名」「部署名」「ブランド」「メーカー」「品名」「型式」「数量」「単価」「合計金額」「契約番号」「契約期限」「契約期間」「見積取得」「見積期限」の17個の見出しが並ぶ。
3. 2行目以降のデータの行数が、控えた一覧の行数と同じである。
4. 各行の17列の値が、控えた一覧の値と一致する（金額の「単価」「合計金額」は、画面の通貨記号付きの表示ではなく、数値として表示される。円記号と桁区切りを付ける）。
5. 「単価」「合計金額」の列が「¥#,##0」の通貨形式（桁区切りあり）で表示される。
6. 「契約期限」「見積期限」の列が「yyyy/MM/dd」の形式の日付で表示される。
7. 「サポートID」「品名」「型式」「契約番号」「契約期間」が文字列として表示される。</x:v>
      </x:c>
      <x:c r="G41" s="10" t="str">
        <x:v>－</x:v>
      </x:c>
      <x:c r="H41" s="10"/>
      <x:c r="I41" s="10"/>
      <x:c r="J41" s="13"/>
      <x:c r="K41" s="10"/>
      <x:c r="L41" s="10"/>
      <x:c r="M41" s="10"/>
      <x:c r="N41" s="13"/>
      <x:c r="O41" s="10" t="str">
        <x:f>IF(L41&lt;&gt;"",L41,IF(H41="","未実施",H41))</x:f>
        <x:v>未実施</x:v>
      </x:c>
      <x:c r="P41" s="10" t="str">
        <x:v>Web根拠：Mcm3004pExcelService.java／Mcm3004uController.java。VB比較対象：Mcm3004pExcel.vb・Constant.vbと起動元画面。対応する機能条件は末尾の根拠一覧参照。</x:v>
      </x:c>
    </x:row>
    <x:row r="42" ht="176" customHeight="1">
      <x:c r="A42" s="10" t="str">
        <x:v>3004P-14</x:v>
      </x:c>
      <x:c r="B42" s="10" t="str">
        <x:v>出力内容</x:v>
      </x:c>
      <x:c r="C42" s="10" t="str">
        <x:v>「個体終息確認（契約完了）」：シート名、見出し行、一覧の内容が画面のとおり出力される</x:v>
      </x:c>
      <x:c r="D42" s="10" t="str">
        <x:v>【前提条件】
・共通の前提のとおり。
・「個体終息確認（契約完了）」タブで、検索すると3行以上の一覧が出る基準月と対象期間（例：2026/10、4）がある。</x:v>
      </x:c>
      <x:c r="E42" s="10" t="str">
        <x:v>1. メニュー(MCM0001U)で「作業予定検索」ボタンを押下し、MCM3004Uを表示する。
2. 「個体終息確認（契約完了）」タブを選択する。
3. 「基準月」の入力欄に「2026/10」、「対象期間」の入力欄に「4」を入力し、「検索」ボタンを押下する。
4. 一覧の見出しと、全行の全列の値を控える（行数も控える）。
5. 取得したファイルを手動で開いたExcelで、シート名、1行目、2行目以降を確認する。
6. 共通手順W01に従い対象ファイルを取得し、Excelで開いて本ケースの期待結果を確認する。異常系はファイルが取得されないことを確認する。</x:v>
      </x:c>
      <x:c r="F42" s="10" t="str">
        <x:v>1. シートが1枚だけで、シート名が「個体終息確認(契約完了)」である（かっこは半角）。
2. 1行目に、左から「CD」「店舗」「サポートID」「ユーザ名」「部署名」「ブランド」「メーカー」「品名」「型式」「数量」「単価」「合計金額」「契約番号」「契約期限」「契約期間」の15個の見出しが並ぶ（「見積取得」「見積期限」の列がない）。
3. 2行目以降のデータの行数が、控えた一覧の行数と同じである。
4. 各行の15列の値が、控えた一覧の値と一致する。
5. 「単価」「合計金額」の列が「¥#,##0」の通貨形式で、「契約期限」の列が「yyyy/MM/dd」の形式の日付で表示される。
6. 「サポートID」「型式」「契約番号」「契約期間」が文字列として表示される。</x:v>
      </x:c>
      <x:c r="G42" s="10" t="str">
        <x:v>－</x:v>
      </x:c>
      <x:c r="H42" s="10"/>
      <x:c r="I42" s="10"/>
      <x:c r="J42" s="13"/>
      <x:c r="K42" s="10"/>
      <x:c r="L42" s="10"/>
      <x:c r="M42" s="10"/>
      <x:c r="N42" s="13"/>
      <x:c r="O42" s="10" t="str">
        <x:f>IF(L42&lt;&gt;"",L42,IF(H42="","未実施",H42))</x:f>
        <x:v>未実施</x:v>
      </x:c>
      <x:c r="P42" s="10" t="str">
        <x:v>Web根拠：Mcm3004pExcelService.java／Mcm3004uController.java。VB比較対象：Mcm3004pExcel.vb・Constant.vbと起動元画面。対応する機能条件は末尾の根拠一覧参照。</x:v>
      </x:c>
    </x:row>
    <x:row r="43" ht="190" customHeight="1">
      <x:c r="A43" s="10" t="str">
        <x:v>3004P-15</x:v>
      </x:c>
      <x:c r="B43" s="10" t="str">
        <x:v>出力内容</x:v>
      </x:c>
      <x:c r="C43" s="10" t="str">
        <x:v>「契約差異確認」：シート名、見出し行、一覧の内容が画面のとおり出力される</x:v>
      </x:c>
      <x:c r="D43" s="10" t="str">
        <x:v>【前提条件】
・共通の前提のとおり。
・「契約差異確認」タブで、検索すると3行以上の一覧が出る基準月と対象期間（例：2026/10、4）がある。</x:v>
      </x:c>
      <x:c r="E43" s="10" t="str">
        <x:v>1. メニュー(MCM0001U)で「作業予定検索」ボタンを押下し、MCM3004Uを表示する。
2. 「契約差異確認」タブを選択する。
3. 「基準月」の入力欄に「2026/10」、「対象期間」の入力欄に「4」を入力し、「ユーザ契約を基準に取引先契約が不足しているもの」を選択して、「検索」ボタンを押下する。
4. 一覧の見出しと、全行の全列の値を控える（行数も控える）。
5. 取得したファイルを手動で開いたExcelで、シート名、1行目、2行目以降を確認する。
6. 共通手順W01に従い対象ファイルを取得し、Excelで開いて本ケースの期待結果を確認する。異常系はファイルが取得されないことを確認する。</x:v>
      </x:c>
      <x:c r="F43" s="10" t="str">
        <x:v>1. シートが1枚だけで、シート名が「契約差異確認」である。
2. 1行目に、左から「納入先コード」「納入先名」「サポートID」「プラント名」「契約番号」「契約満了日」「延長契約満了日」「取引先コード」「取引先名」「契約番号」「契約満了日」「延長契約満了日」の12個の見出しが並ぶ（「契約番号」「契約満了日」「延長契約満了日」が2回ずつ並ぶ）。
3. 2行目以降のデータの行数が、控えた一覧の行数と同じである。
4. 各行の12列の値が、控えた一覧の値と一致する（同じ見出しの列は、左から順に対応する）。
5. 6列目、7列目、11列目、12列目が「yyyy/MM/dd」の形式の日付で表示される。
6. 「納入先コード」の先頭の「0」が消えずに表示される。「サポートID」と、5列目の「契約番号」が文字列として表示される。</x:v>
      </x:c>
      <x:c r="G43" s="10" t="str">
        <x:v>－</x:v>
      </x:c>
      <x:c r="H43" s="10"/>
      <x:c r="I43" s="10"/>
      <x:c r="J43" s="13"/>
      <x:c r="K43" s="10"/>
      <x:c r="L43" s="10"/>
      <x:c r="M43" s="10"/>
      <x:c r="N43" s="13"/>
      <x:c r="O43" s="10" t="str">
        <x:f>IF(L43&lt;&gt;"",L43,IF(H43="","未実施",H43))</x:f>
        <x:v>未実施</x:v>
      </x:c>
      <x:c r="P43" s="10" t="str">
        <x:v>Web根拠：Mcm3004pExcelService.java／Mcm3004uController.java。VB比較対象：Mcm3004pExcel.vb・Constant.vbと起動元画面。対応する機能条件は末尾の根拠一覧参照。</x:v>
      </x:c>
    </x:row>
    <x:row r="44" ht="176" customHeight="1">
      <x:c r="A44" s="10" t="str">
        <x:v>3004P-16</x:v>
      </x:c>
      <x:c r="B44" s="10" t="str">
        <x:v>出力内容</x:v>
      </x:c>
      <x:c r="C44" s="10" t="str">
        <x:v>「不足製番確認」：シート名、見出し行、一覧の内容が画面のとおり出力される</x:v>
      </x:c>
      <x:c r="D44" s="10" t="str">
        <x:v>【前提条件】
・共通の前提のとおり。
・「不足製番確認」タブで、検索すると3行以上の一覧が出る基準月と対象期間（例：2026/10、13）がある。</x:v>
      </x:c>
      <x:c r="E44" s="10" t="str">
        <x:v>1. メニュー(MCM0001U)で「作業予定検索」ボタンを押下し、MCM3004Uを表示する。
2. 「不足製番確認」タブを選択する。
3. 「基準月」の入力欄に「2026/10」、「対象期間」の入力欄に「13」を入力し、「検索」ボタンを押下する。
4. 一覧の見出しと、全行の全列の値を控える（行数も控える）。
5. 取得したファイルを手動で開いたExcelで、シート名、1行目、2行目以降を確認する。
6. 共通手順W01に従い対象ファイルを取得し、Excelで開いて本ケースの期待結果を確認する。異常系はファイルが取得されないことを確認する。</x:v>
      </x:c>
      <x:c r="F44" s="10" t="str">
        <x:v>1. シートが1枚だけで、シート名が「不足製番確認」である。
2. 1行目に、左から「店舗」「サポートID」「納入先名」「プラント名」「保守金額」「最終年月」「最終製番」の7個の見出しが並ぶ。
3. 2行目以降のデータの行数が、控えた一覧の行数と同じである。
4. 各行の7列の値が、控えた一覧の値と一致する（「最終年月」の表示は3004P-25で確認する）。
5. 「保守金額」の列が「¥#,##0」の通貨形式で表示される。
6. 「サポートID」が文字列として表示される。</x:v>
      </x:c>
      <x:c r="G44" s="10" t="str">
        <x:v>－</x:v>
      </x:c>
      <x:c r="H44" s="10"/>
      <x:c r="I44" s="10"/>
      <x:c r="J44" s="13"/>
      <x:c r="K44" s="10"/>
      <x:c r="L44" s="10"/>
      <x:c r="M44" s="10"/>
      <x:c r="N44" s="13"/>
      <x:c r="O44" s="10" t="str">
        <x:f>IF(L44&lt;&gt;"",L44,IF(H44="","未実施",H44))</x:f>
        <x:v>未実施</x:v>
      </x:c>
      <x:c r="P44" s="10" t="str">
        <x:v>Web根拠：Mcm3004pExcelService.java／Mcm3004uController.java。VB比較対象：Mcm3004pExcel.vb・Constant.vbと起動元画面。対応する機能条件は末尾の根拠一覧参照。</x:v>
      </x:c>
    </x:row>
    <x:row r="45" ht="190" customHeight="1">
      <x:c r="A45" s="10" t="str">
        <x:v>3004P-17</x:v>
      </x:c>
      <x:c r="B45" s="10" t="str">
        <x:v>出力内容</x:v>
      </x:c>
      <x:c r="C45" s="10" t="str">
        <x:v>「予定登録検索」：シート名、見出し行、一覧の内容が画面のとおり出力される</x:v>
      </x:c>
      <x:c r="D45" s="10" t="str">
        <x:v>【前提条件】
・共通の前提のとおり。
・「予定登録検索」タブで、検索すると3行以上の一覧が出る基準月と対象期間（例：2026/10、4）がある。
・「登録ID」が2以上の備忘録を使う（登録IDが「0」「1」の行の表示は3004P-27で確認する）。【要確認：登録IDが2以上だけの検索結果を用意できるか】</x:v>
      </x:c>
      <x:c r="E45" s="10" t="str">
        <x:v>1. メニュー(MCM0001U)で「作業予定検索」ボタンを押下し、MCM3004Uを表示する。
2. 「予定登録検索」タブを選択する。
3. 「基準月」の入力欄に「2026/10」、「対象期間」の入力欄に「4」を入力し、「完了したものも含む」のチェックを外して、「検索」ボタンを押下する。
4. 一覧の見出しと、全行の全列の値を控える（行数も控える）。
5. 取得したファイルを手動で開いたExcelで、シート名、1行目、2行目以降を確認する。
6. 共通手順W01に従い対象ファイルを取得し、Excelで開いて本ケースの期待結果を確認する。異常系はファイルが取得されないことを確認する。</x:v>
      </x:c>
      <x:c r="F45" s="10" t="str">
        <x:v>1. シートが1枚だけで、シート名が「備忘録」である。
2. 1行目に、左から「登録ID」「予定日」「完了」「内容」「備考」「登録日時」「登録者」「更新日時」「更新者」の9個の見出しが並ぶ。
3. 2行目以降のデータの行数が、控えた一覧の行数と同じである。
4. 各行の9列の値が、控えた一覧の値と一致する（「完了」の表示は3004P-26で確認する）。
5. 「予定日」の列が「yyyy/MM/dd」の形式の日付で表示される。
6. 「内容」「備考」が文字列として表示される。
7. 「登録日時」「更新日時」の列に、日付と時刻が表示される（入力元の日時を欠落なく保持する。具体的表示はQ01で確認）。</x:v>
      </x:c>
      <x:c r="G45" s="10" t="str">
        <x:v>－</x:v>
      </x:c>
      <x:c r="H45" s="10"/>
      <x:c r="I45" s="10"/>
      <x:c r="J45" s="13"/>
      <x:c r="K45" s="10"/>
      <x:c r="L45" s="10"/>
      <x:c r="M45" s="10"/>
      <x:c r="N45" s="13"/>
      <x:c r="O45" s="10" t="str">
        <x:f>IF(L45&lt;&gt;"",L45,IF(H45="","未実施",H45))</x:f>
        <x:v>未実施</x:v>
      </x:c>
      <x:c r="P45" s="10" t="str">
        <x:v>Web根拠：Mcm3004pExcelService.java／Mcm3004uController.java。VB比較対象：Mcm3004pExcel.vb・Constant.vbと起動元画面。対応する機能条件は末尾の根拠一覧参照。</x:v>
      </x:c>
    </x:row>
    <x:row r="46" ht="176" customHeight="1">
      <x:c r="A46" s="10" t="str">
        <x:v>3004P-18</x:v>
      </x:c>
      <x:c r="B46" s="10" t="str">
        <x:v>出力内容</x:v>
      </x:c>
      <x:c r="C46" s="10" t="str">
        <x:v>「バッテリー交換」：シート名、見出し行、一覧の内容が画面のとおり出力される</x:v>
      </x:c>
      <x:c r="D46" s="10" t="str">
        <x:v>【前提条件】
・共通の前提のとおり。
・「バッテリー交換」タブで、検索すると3行以上の一覧が出る基準月と対象期間（例：2026/10、4）がある。</x:v>
      </x:c>
      <x:c r="E46" s="10" t="str">
        <x:v>1. メニュー(MCM0001U)で「作業予定検索」ボタンを押下し、MCM3004Uを表示する。
2. 「バッテリー交換」タブを選択する。
3. 「基準月」の入力欄に「2026/10」、「対象期間」の入力欄に「4」を入力し、「検索」ボタンを押下する。
4. 一覧の見出しと、全行の全列の値を控える（行数も控える）。
5. 取得したファイルを手動で開いたExcelで、シート名、1行目、2行目以降を確認する。
6. 共通手順W01に従い対象ファイルを取得し、Excelで開いて本ケースの期待結果を確認する。異常系はファイルが取得されないことを確認する。</x:v>
      </x:c>
      <x:c r="F46" s="10" t="str">
        <x:v>1. シートが1枚だけで、シート名が「バッテリー交換」である。
2. 1行目に、左から「サポートID」「お客様名」「サービス店舗」「システム名」「ブランド名」「PC点検月」「電池種類」「種類」「号機」「メーカー」「装置型式」「バッテリー型式」「納入年月日」「期待寿命日」「保守契約」「MC契約」「コントローラ契約」の17個の見出しが並ぶ。
3. 2行目以降のデータの行数が、控えた一覧の行数と同じである。
4. 各行の17列の値が、控えた一覧の値と一致する。
5. 「納入年月日」「期待寿命日」の列が「yyyy/MM/dd」の形式の日付で表示される。
6. 「サポートID」「種類」「装置型式」「バッテリー型式」が文字列として表示される。</x:v>
      </x:c>
      <x:c r="G46" s="10" t="str">
        <x:v>－</x:v>
      </x:c>
      <x:c r="H46" s="10"/>
      <x:c r="I46" s="10"/>
      <x:c r="J46" s="13"/>
      <x:c r="K46" s="10"/>
      <x:c r="L46" s="10"/>
      <x:c r="M46" s="10"/>
      <x:c r="N46" s="13"/>
      <x:c r="O46" s="10" t="str">
        <x:f>IF(L46&lt;&gt;"",L46,IF(H46="","未実施",H46))</x:f>
        <x:v>未実施</x:v>
      </x:c>
      <x:c r="P46" s="10" t="str">
        <x:v>Web根拠：Mcm3004pExcelService.java／Mcm3004uController.java。VB比較対象：Mcm3004pExcel.vb・Constant.vbと起動元画面。対応する機能条件は末尾の根拠一覧参照。</x:v>
      </x:c>
    </x:row>
    <x:row r="47" ht="260" customHeight="1">
      <x:c r="A47" s="10" t="str">
        <x:v>3004P-19</x:v>
      </x:c>
      <x:c r="B47" s="10" t="str">
        <x:v>出力内容</x:v>
      </x:c>
      <x:c r="C47" s="10" t="str">
        <x:v>「取引先契約確認」：シート名、見出し行、一覧の内容が画面のとおり出力される</x:v>
      </x:c>
      <x:c r="D47" s="10" t="str">
        <x:v>【前提条件】
・共通の前提のとおり。
・ログインユーザーの利用権限3が、金額の列が表示される権限である（金額の列の表示制御は3004P-28、3004P-29で確認する）。【要確認：利用権限3の名称】
・「取引先契約確認」タブで、検索すると3行以上の一覧が出る日付（例：システム日付）がある。</x:v>
      </x:c>
      <x:c r="E47" s="10" t="str">
        <x:v>1. メニュー(MCM0001U)で「作業予定検索」ボタンを押下し、MCM3004Uを表示する。
2. 「取引先契約確認」タブを選択する。
3. 「日付」の入力欄に一覧に行が出る日付（例：初期値のシステム日付）が入っていることを確認し、「取引先コード」「取引先名」は空のまま、「検索」ボタンを押下する。
4. 一覧の見出しと、全行の全列の値を控える（行数も控える）。
5. 取得したファイルを手動で開いたExcelで、シート名、1行目、2行目以降を確認する。
6. 共通手順W01に従い対象ファイルを取得し、Excelで開いて本ケースの期待結果を確認する。異常系はファイルが取得されないことを確認する。</x:v>
      </x:c>
      <x:c r="F47" s="10" t="str">
        <x:v>1. シートが1枚だけで、シート名が「取引先契約確認」である。
2. 1行目に、左から「取引先コード」「取引先名」「納入先コード」「納入先名」「サポートID」「プラント名」「パック」「契約番号」「契約内容」「備考」「契約日」「解約日」「契約満了日」「延長契約満了日」「開始日」「終了日」「保守方法」「保守契約時間帯」「標準価格合計」「仕切り価格小計」「出精値引き」「仕切り価格合計」の22個の見出しが並ぶ。
3. 2行目以降のデータの行数が、控えた一覧の行数と同じである。
4. 「パック」「出精値引き」以外の列の値が、控えた一覧の値と一致する（「パック」は3004P-23、「出精値引き」は3004P-30で確認する）。
5. 「契約日」から「終了日」までの6列が、「yyyy/MM/dd」の形式の日付で表示される。
6. 金額の4列（「標準価格合計」から「仕切り価格合計」）が「¥#,##0」の通貨形式で表示される。
7. 「納入先コード」の先頭の「0」が消えずに表示される。「サポートID」「契約番号」「契約内容」「備考」が文字列として表示される。</x:v>
      </x:c>
      <x:c r="G47" s="10" t="str">
        <x:v>－</x:v>
      </x:c>
      <x:c r="H47" s="10"/>
      <x:c r="I47" s="10"/>
      <x:c r="J47" s="13"/>
      <x:c r="K47" s="10"/>
      <x:c r="L47" s="10"/>
      <x:c r="M47" s="10"/>
      <x:c r="N47" s="13"/>
      <x:c r="O47" s="10" t="str">
        <x:f>IF(L47&lt;&gt;"",L47,IF(H47="","未実施",H47))</x:f>
        <x:v>未実施</x:v>
      </x:c>
      <x:c r="P47" s="10" t="str">
        <x:v>Web根拠：Mcm3004pExcelService.java／Mcm3004uController.java。VB比較対象：Mcm3004pExcel.vb・Constant.vbと起動元画面。対応する機能条件は末尾の根拠一覧参照。</x:v>
      </x:c>
    </x:row>
    <x:row r="48" ht="148" customHeight="1">
      <x:c r="A48" s="10" t="str">
        <x:v>3004P-20</x:v>
      </x:c>
      <x:c r="B48" s="10" t="str">
        <x:v>書式</x:v>
      </x:c>
      <x:c r="C48" s="10" t="str">
        <x:v>作業内容一覧：見出し行に背景色が付き、全セルに罫線が付く</x:v>
      </x:c>
      <x:c r="D48" s="10" t="str">
        <x:v>【前提条件】
・共通の前提のとおり。
・「ユーザ契約終息確認」タブで、検索すると3行以上の一覧が出る基準月と対象期間（例：2026/10、4）がある。</x:v>
      </x:c>
      <x:c r="E48" s="10" t="str">
        <x:v>1. メニュー(MCM0001U)で「作業予定検索」ボタンを押下し、MCM3004Uを表示する。
2. 「ユーザ契約終息確認」タブを選択する。
3. 「基準月」の入力欄に「2026/10」、「対象期間」の入力欄に「4」を入力し、「検索」ボタンを押下する。
4. 取得したファイルを手動で開いたExcelで、1行目と、データの最終行付近を確認する。
5. 共通手順W01に従い対象ファイルを取得し、Excelで開いて本ケースの期待結果を確認する。異常系はファイルが取得されないことを確認する。</x:v>
      </x:c>
      <x:c r="F48" s="10" t="str">
        <x:v>1. 1行目の見出しの各セル（A列〜M列）に背景色（薄い水色）が付いている。
2. 見出しとデータの全セルに罫線が付いている。
3. データの最終行の下の行に、枠線が付いていない。</x:v>
      </x:c>
      <x:c r="G48" s="10" t="str">
        <x:v>－</x:v>
      </x:c>
      <x:c r="H48" s="10"/>
      <x:c r="I48" s="10"/>
      <x:c r="J48" s="13"/>
      <x:c r="K48" s="10"/>
      <x:c r="L48" s="10"/>
      <x:c r="M48" s="10"/>
      <x:c r="N48" s="13"/>
      <x:c r="O48" s="10" t="str">
        <x:f>IF(L48&lt;&gt;"",L48,IF(H48="","未実施",H48))</x:f>
        <x:v>未実施</x:v>
      </x:c>
      <x:c r="P48" s="10" t="str">
        <x:v>Web根拠：Mcm3004pExcelService.java／Mcm3004uController.java。VB比較対象：Mcm3004pExcel.vb・Constant.vbと起動元画面。対応する機能条件は末尾の根拠一覧参照。</x:v>
      </x:c>
    </x:row>
    <x:row r="49" ht="176" customHeight="1">
      <x:c r="A49" s="10" t="str">
        <x:v>3004P-21</x:v>
      </x:c>
      <x:c r="B49" s="10" t="str">
        <x:v>出力内容</x:v>
      </x:c>
      <x:c r="C49" s="10" t="str">
        <x:v>作業内容一覧：画面の一覧を並べ替えると、並べ替え後の順で出力される</x:v>
      </x:c>
      <x:c r="D49" s="10" t="str">
        <x:v>【前提条件】
・共通の前提のとおり。
・「ユーザ契約終息確認」タブで、検索すると3行以上の一覧が出る基準月と対象期間（例：2026/10、4）がある。</x:v>
      </x:c>
      <x:c r="E49" s="10" t="str">
        <x:v>1. メニュー(MCM0001U)で「作業予定検索」ボタンを押下し、MCM3004Uを表示する。
2. 「ユーザ契約終息確認」タブを選択する。
3. 「基準月」の入力欄に「2026/10」、「対象期間」の入力欄に「4」を入力し、「検索」ボタンを押下する。
4. 一覧の「契約番号」の列見出しを押下して並べ替え、並びを控える。
5. 取得したファイルを手動で開いたExcelの行の並びを確認する。
6. 共通手順W01に従い対象ファイルを取得し、Excelで開いて本ケースの期待結果を確認する。異常系はファイルが取得されないことを確認する。</x:v>
      </x:c>
      <x:c r="F49" s="10" t="str">
        <x:v>1. Excelの行の並びが、手順4で並べ替えた後の画面の並びと同じである。</x:v>
      </x:c>
      <x:c r="G49" s="10" t="str">
        <x:v>－</x:v>
      </x:c>
      <x:c r="H49" s="10"/>
      <x:c r="I49" s="10"/>
      <x:c r="J49" s="13"/>
      <x:c r="K49" s="10"/>
      <x:c r="L49" s="10"/>
      <x:c r="M49" s="10"/>
      <x:c r="N49" s="13"/>
      <x:c r="O49" s="10" t="str">
        <x:f>IF(L49&lt;&gt;"",L49,IF(H49="","未実施",H49))</x:f>
        <x:v>未実施</x:v>
      </x:c>
      <x:c r="P49" s="10" t="str">
        <x:v>Web根拠：Mcm3004pExcelService.java／Mcm3004uController.java。VB比較対象：Mcm3004pExcel.vb・Constant.vbと起動元画面。対応する機能条件は末尾の根拠一覧参照。</x:v>
      </x:c>
    </x:row>
    <x:row r="50" ht="190" customHeight="1">
      <x:c r="A50" s="10" t="str">
        <x:v>3004P-22</x:v>
      </x:c>
      <x:c r="B50" s="10" t="str">
        <x:v>出力内容</x:v>
      </x:c>
      <x:c r="C50" s="10" t="str">
        <x:v>作業内容一覧：検索後に入力欄を書き換えても、出力されるのは画面の一覧の内容である</x:v>
      </x:c>
      <x:c r="D50" s="10" t="str">
        <x:v>【前提条件】
・共通の前提のとおり。
・「ユーザ契約終息確認」タブで、検索すると行が出る基準月と対象期間（例：2026/10、4）がある。</x:v>
      </x:c>
      <x:c r="E50" s="10" t="str">
        <x:v>1. メニュー(MCM0001U)で「作業予定検索」ボタンを押下し、MCM3004Uを表示する。
2. 「ユーザ契約終息確認」タブを選択する。
3. 「基準月」の入力欄に「2026/10」、「対象期間」の入力欄に「4」を入力し、「検索」ボタンを押下する。
4. 一覧の行数と、1行目の「契約番号」を控える。
5. 「基準月」の入力欄を「2027/10」に書き換える（「検索」は押下しない）。
6. 取得したファイルを手動で開いたExcelのデータ行数と、2行目の「契約番号」を確認する。
7. 共通手順W01に従い対象ファイルを取得し、Excelで開いて本ケースの期待結果を確認する。異常系はファイルが取得されないことを確認する。</x:v>
      </x:c>
      <x:c r="F50" s="10" t="str">
        <x:v>1. Excelのデータ行数が、手順4で控えた一覧の行数と同じである。
2. Excelの2行目の「契約番号」が、手順4で控えた1行目の「契約番号」と同じである（書き換えた「基準月」の条件で再検索されない）。</x:v>
      </x:c>
      <x:c r="G50" s="10" t="str">
        <x:v>－</x:v>
      </x:c>
      <x:c r="H50" s="10"/>
      <x:c r="I50" s="10"/>
      <x:c r="J50" s="13"/>
      <x:c r="K50" s="10"/>
      <x:c r="L50" s="10"/>
      <x:c r="M50" s="10"/>
      <x:c r="N50" s="13"/>
      <x:c r="O50" s="10" t="str">
        <x:f>IF(L50&lt;&gt;"",L50,IF(H50="","未実施",H50))</x:f>
        <x:v>未実施</x:v>
      </x:c>
      <x:c r="P50" s="10" t="str">
        <x:v>Web根拠：Mcm3004pExcelService.java／Mcm3004uController.java。VB比較対象：Mcm3004pExcel.vb・Constant.vbと起動元画面。対応する機能条件は末尾の根拠一覧参照。</x:v>
      </x:c>
    </x:row>
    <x:row r="51" ht="190" customHeight="1">
      <x:c r="A51" s="10" t="str">
        <x:v>3004P-23</x:v>
      </x:c>
      <x:c r="B51" s="10" t="str">
        <x:v>パック表示</x:v>
      </x:c>
      <x:c r="C51" s="10" t="str">
        <x:v>「取引先契約終息確認」：「パック」の列が「通常」「パック」で出力される</x:v>
      </x:c>
      <x:c r="D51" s="10" t="str">
        <x:v>【前提条件】
・共通の前提のとおり。
・「取引先契約終息確認」タブで、検索すると、「パック」のチェックがオフの契約（通常契約）の行と、チェックがオンの契約（パック契約）の行が、それぞれ1行以上出る基準月と対象期間（例：2026/10、4）がある。</x:v>
      </x:c>
      <x:c r="E51" s="10" t="str">
        <x:v>1. メニュー(MCM0001U)で「作業予定検索」ボタンを押下し、MCM3004Uを表示する。
2. 「取引先契約終息確認」タブを選択する。
3. 「基準月」の入力欄に「2026/10」、「対象期間」の入力欄に「4」を入力し、「全て」を選択して、「検索」ボタンを押下する。
4. 一覧の「パック」の列で、チェックがオフの行とオンの行の契約番号を1つずつ控える。
5. 取得したファイルを手動で開いたExcelで、控えた契約番号の行の「パック」の列（G列）を確認する。
6. 共通手順W01に従い対象ファイルを取得し、Excelで開いて本ケースの期待結果を確認する。異常系はファイルが取得されないことを確認する。</x:v>
      </x:c>
      <x:c r="F51" s="10" t="str">
        <x:v>1. チェックがオフの行の「パック」が「通常」と表示される（「0」ではない）。
2. チェックがオンの行の「パック」が「パック」と表示される（「1」ではない）。
3. 他の列（契約番号など）の値が、一覧の値のままである。</x:v>
      </x:c>
      <x:c r="G51" s="10" t="str">
        <x:v>－</x:v>
      </x:c>
      <x:c r="H51" s="10"/>
      <x:c r="I51" s="10"/>
      <x:c r="J51" s="13"/>
      <x:c r="K51" s="10"/>
      <x:c r="L51" s="10"/>
      <x:c r="M51" s="10"/>
      <x:c r="N51" s="13"/>
      <x:c r="O51" s="10" t="str">
        <x:f>IF(L51&lt;&gt;"",L51,IF(H51="","未実施",H51))</x:f>
        <x:v>未実施</x:v>
      </x:c>
      <x:c r="P51" s="10" t="str">
        <x:v>Web根拠：Mcm3004pExcelService.java／Mcm3004uController.java。VB比較対象：Mcm3004pExcel.vb・Constant.vbと起動元画面。対応する機能条件は末尾の根拠一覧参照。</x:v>
      </x:c>
    </x:row>
    <x:row r="52" ht="176" customHeight="1">
      <x:c r="A52" s="10" t="str">
        <x:v>3004P-24</x:v>
      </x:c>
      <x:c r="B52" s="10" t="str">
        <x:v>出力内容</x:v>
      </x:c>
      <x:c r="C52" s="10" t="str">
        <x:v>「契約差異確認」：選んだ基準（ユーザ契約／取引先契約）の検索結果が出力される</x:v>
      </x:c>
      <x:c r="D52" s="10" t="str">
        <x:v>【前提条件】
・共通の前提のとおり。
・「契約差異確認」タブで、「ユーザ契約を基準に取引先契約が不足しているもの」と「取引先契約を基準にユーザ契約が不足しているもの」の検索結果が、どちらも1行以上出る基準月と対象期間（例：2026/10、4）がある。
・2つの検索結果の1行目の「納入先コード」が異なる。</x:v>
      </x:c>
      <x:c r="E52" s="10" t="str">
        <x:v>1. メニュー(MCM0001U)で「作業予定検索」ボタンを押下し、MCM3004Uを表示する。
2. 「契約差異確認」タブを選択する。
3. 「基準月」の入力欄に「2026/10」、「対象期間」の入力欄に「4」を入力し、「取引先契約を基準にユーザ契約が不足しているもの」を選択して、「検索」ボタンを押下する。
4. 一覧の行数と、1行目の「納入先コード」を控える。
5. 取得したファイルを手動で開いたExcelのデータ行数と、2行目の「納入先コード」を確認する。
6. 共通手順W01に従い対象ファイルを取得し、Excelで開いて本ケースの期待結果を確認する。異常系はファイルが取得されないことを確認する。</x:v>
      </x:c>
      <x:c r="F52" s="10" t="str">
        <x:v>1. Excelのデータ行数が、手順4で控えた一覧の行数と同じである。
2. Excelの2行目の「納入先コード」が、手順4で控えた1行目の「納入先コード」と同じである（もう一方の基準の検索結果ではない）。</x:v>
      </x:c>
      <x:c r="G52" s="10" t="str">
        <x:v>－</x:v>
      </x:c>
      <x:c r="H52" s="10"/>
      <x:c r="I52" s="10"/>
      <x:c r="J52" s="13"/>
      <x:c r="K52" s="10"/>
      <x:c r="L52" s="10"/>
      <x:c r="M52" s="10"/>
      <x:c r="N52" s="13"/>
      <x:c r="O52" s="10" t="str">
        <x:f>IF(L52&lt;&gt;"",L52,IF(H52="","未実施",H52))</x:f>
        <x:v>未実施</x:v>
      </x:c>
      <x:c r="P52" s="10" t="str">
        <x:v>Web根拠：Mcm3004pExcelService.java／Mcm3004uController.java。VB比較対象：Mcm3004pExcel.vb・Constant.vbと起動元画面。対応する機能条件は末尾の根拠一覧参照。</x:v>
      </x:c>
    </x:row>
    <x:row r="53" ht="176" customHeight="1">
      <x:c r="A53" s="10" t="str">
        <x:v>3004P-25</x:v>
      </x:c>
      <x:c r="B53" s="10" t="str">
        <x:v>書式</x:v>
      </x:c>
      <x:c r="C53" s="10" t="str">
        <x:v>「不足製番確認」：「最終年月」が日付の形式で出力される</x:v>
      </x:c>
      <x:c r="D53" s="10" t="str">
        <x:v>【前提条件】
・共通の前提のとおり。
・「不足製番確認」タブで、検索すると行が出る基準月と対象期間（例：2026/10、13）がある。</x:v>
      </x:c>
      <x:c r="E53" s="10" t="str">
        <x:v>1. メニュー(MCM0001U)で「作業予定検索」ボタンを押下し、MCM3004Uを表示する。
2. 「不足製番確認」タブを選択する。
3. 「基準月」の入力欄に「2026/10」、「対象期間」の入力欄に「13」を入力し、「検索」ボタンを押下する。
4. 一覧の1行目の「最終年月」（画面の表示は「yyyy/MM」形式）を控える。
5. 取得したファイルを手動で開いたExcelの2行目の「最終年月」の列（F列）を確認する。
6. 共通手順W01に従い対象ファイルを取得し、Excelで開いて本ケースの期待結果を確認する。異常系はファイルが取得されないことを確認する。</x:v>
      </x:c>
      <x:c r="F53" s="10" t="str">
        <x:v>「最終年月」は原日付に対しyyyy/MM/dd書式で表示する。画面のyyyy/MM表示とは区別する。日を推測で変更せず、空値は空欄。</x:v>
      </x:c>
      <x:c r="G53" s="10" t="str">
        <x:v>－</x:v>
      </x:c>
      <x:c r="H53" s="10"/>
      <x:c r="I53" s="10"/>
      <x:c r="J53" s="13"/>
      <x:c r="K53" s="10"/>
      <x:c r="L53" s="10"/>
      <x:c r="M53" s="10"/>
      <x:c r="N53" s="13"/>
      <x:c r="O53" s="10" t="str">
        <x:f>IF(L53&lt;&gt;"",L53,IF(H53="","未実施",H53))</x:f>
        <x:v>未実施</x:v>
      </x:c>
      <x:c r="P53" s="10" t="str">
        <x:v>Web根拠：Mcm3004pExcelService.java／Mcm3004uController.java。VB比較対象：Mcm3004pExcel.vb・Constant.vbと起動元画面。対応する機能条件は末尾の根拠一覧参照。原案に推定・実機記録項目あり。判断基準は下記訂正またはQ一覧で管理。</x:v>
      </x:c>
    </x:row>
    <x:row r="54" ht="190" customHeight="1">
      <x:c r="A54" s="10" t="str">
        <x:v>3004P-26</x:v>
      </x:c>
      <x:c r="B54" s="10" t="str">
        <x:v>完了表示</x:v>
      </x:c>
      <x:c r="C54" s="10" t="str">
        <x:v>「予定登録検索」：「完了」の列が「完了」または空欄で出力される</x:v>
      </x:c>
      <x:c r="D54" s="10" t="str">
        <x:v>【前提条件】
・共通の前提のとおり。
・「予定登録検索」タブで、「完了したものも含む」を選んで検索すると、「完了」のチェックがオフの行とオンの行が、それぞれ1行以上出る基準月と対象期間（例：2026/10、4）がある。</x:v>
      </x:c>
      <x:c r="E54" s="10" t="str">
        <x:v>1. メニュー(MCM0001U)で「作業予定検索」ボタンを押下し、MCM3004Uを表示する。
2. 「予定登録検索」タブを選択する。
3. 「基準月」の入力欄に「2026/10」、「対象期間」の入力欄に「4」を入力し、「完了したものも含む」にチェックを入れて、「検索」ボタンを押下する。
4. 一覧の「完了」の列で、チェックがオフの行とオンの行の内容を1つずつ控える。
5. 取得したファイルを手動で開いたExcelで、控えた行の「完了」の列（C列）を確認する。
6. 共通手順W01に従い対象ファイルを取得し、Excelで開いて本ケースの期待結果を確認する。異常系はファイルが取得されないことを確認する。</x:v>
      </x:c>
      <x:c r="F54" s="10" t="str">
        <x:v>1. チェックがオフの行の「完了」が空欄である（「0」ではない）。
2. チェックがオンの行の「完了」が「完了」と表示される（「1」ではない）。</x:v>
      </x:c>
      <x:c r="G54" s="10" t="str">
        <x:v>－</x:v>
      </x:c>
      <x:c r="H54" s="10"/>
      <x:c r="I54" s="10"/>
      <x:c r="J54" s="13"/>
      <x:c r="K54" s="10"/>
      <x:c r="L54" s="10"/>
      <x:c r="M54" s="10"/>
      <x:c r="N54" s="13"/>
      <x:c r="O54" s="10" t="str">
        <x:f>IF(L54&lt;&gt;"",L54,IF(H54="","未実施",H54))</x:f>
        <x:v>未実施</x:v>
      </x:c>
      <x:c r="P54" s="10" t="str">
        <x:v>Web根拠：Mcm3004pExcelService.java／Mcm3004uController.java。VB比較対象：Mcm3004pExcel.vb・Constant.vbと起動元画面。対応する機能条件は末尾の根拠一覧参照。</x:v>
      </x:c>
    </x:row>
    <x:row r="55" ht="176" customHeight="1">
      <x:c r="A55" s="10" t="str">
        <x:v>3004P-27</x:v>
      </x:c>
      <x:c r="B55" s="10" t="str">
        <x:v>完了表示</x:v>
      </x:c>
      <x:c r="C55" s="10" t="str">
        <x:v>「予定登録検索」：「登録ID」が「0」「1」の行の「登録ID」が、別の文字に変わらない</x:v>
      </x:c>
      <x:c r="D55" s="10" t="str">
        <x:v>【前提条件】
・共通の前提のとおり。
・「予定登録検索」タブの検索結果に、「登録ID」が「1」の行がある。【要確認：そのデータが存在するか。「0」の行は存在しない見込み】</x:v>
      </x:c>
      <x:c r="E55" s="10" t="str">
        <x:v>1. メニュー(MCM0001U)で「作業予定検索」ボタンを押下し、MCM3004Uを表示する。
2. 「予定登録検索」タブを選択する。
3. 「基準月」の入力欄と「対象期間」の入力欄に、「登録ID」が「1」の行が一覧に出る値を入力し、「完了したものも含む」にチェックを入れて、「検索」ボタンを押下する。
4. 「登録ID」が「1」の行の内容（予定日、内容）を控える。
5. 取得したファイルを手動で開いたExcelで、控えた行の「登録ID」の列（A列）を確認する。
6. 共通手順W01に従い対象ファイルを取得し、Excelで開いて本ケースの期待結果を確認する。異常系はファイルが取得されないことを確認する。</x:v>
      </x:c>
      <x:c r="F55" s="10" t="str">
        <x:v>登録IDの文字列0・1を保持し、空欄・「完了」へ変換しない。「完了」表示変換は完了列だけに適用する。</x:v>
      </x:c>
      <x:c r="G55" s="10" t="str">
        <x:v>－</x:v>
      </x:c>
      <x:c r="H55" s="10"/>
      <x:c r="I55" s="10"/>
      <x:c r="J55" s="13"/>
      <x:c r="K55" s="10"/>
      <x:c r="L55" s="10"/>
      <x:c r="M55" s="10"/>
      <x:c r="N55" s="13"/>
      <x:c r="O55" s="10" t="str">
        <x:f>IF(L55&lt;&gt;"",L55,IF(H55="","未実施",H55))</x:f>
        <x:v>未実施</x:v>
      </x:c>
      <x:c r="P55" s="10" t="str">
        <x:v>F03：VBと現行Webは列ではなく全セルの0/1を変換する。不具合として検出し、その再現を合格にしない。</x:v>
      </x:c>
    </x:row>
    <x:row r="56" ht="176" customHeight="1">
      <x:c r="A56" s="10" t="str">
        <x:v>3004P-28</x:v>
      </x:c>
      <x:c r="B56" s="10" t="str">
        <x:v>権限</x:v>
      </x:c>
      <x:c r="C56" s="10" t="str">
        <x:v>「取引先契約確認」：金額表示の権限がある場合は、金額の4列が出力される</x:v>
      </x:c>
      <x:c r="D56" s="10" t="str">
        <x:v>【前提条件】
・共通の前提のとおり。
・ログインユーザーの金額表示の権限（担当者マスタの実際の設定項目名はQ05で確認）が「1以上」である。【要確認：金額表示の権限（担当者マスタの実際の設定項目名はQ05で確認）の名称と、担当者マスタでの設定方法】
・「取引先契約確認」タブで、検索すると行が出る日付がある。</x:v>
      </x:c>
      <x:c r="E56" s="10" t="str">
        <x:v>1. 金額表示の権限がある担当者でログインし、メニュー(MCM0001U)で「作業予定検索」ボタンを押下し、MCM3004Uを表示する。
2. 「取引先契約確認」タブを選択する。
3. 「日付」の入力欄に、一覧に行が出る日付（例：初期値のシステム日付）が入っていることを確認し、「検索」ボタンを押下する。
4. 一覧に「標準価格合計」「仕切り価格小計」「出精値引き」「仕切り価格合計」の列が表示されていることを確認する。
5. 取得したファイルを手動で開いたExcelの1行目を確認する。
6. 共通手順W01に従い対象ファイルを取得し、Excelで開いて本ケースの期待結果を確認する。異常系はファイルが取得されないことを確認する。</x:v>
      </x:c>
      <x:c r="F56" s="10" t="str">
        <x:v>1. 1行目が22個の見出しで、最後の4つが「標準価格合計」「仕切り価格小計」「出精値引き」「仕切り価格合計」である。
2. 金額の4列の値が、一覧の値と一致する。</x:v>
      </x:c>
      <x:c r="G56" s="10" t="str">
        <x:v>－</x:v>
      </x:c>
      <x:c r="H56" s="10"/>
      <x:c r="I56" s="10"/>
      <x:c r="J56" s="13"/>
      <x:c r="K56" s="10"/>
      <x:c r="L56" s="10"/>
      <x:c r="M56" s="10"/>
      <x:c r="N56" s="13"/>
      <x:c r="O56" s="10" t="str">
        <x:f>IF(L56&lt;&gt;"",L56,IF(H56="","未実施",H56))</x:f>
        <x:v>未実施</x:v>
      </x:c>
      <x:c r="P56" s="10" t="str">
        <x:v>担当者マスタの利用者向け設定項目名・選択肢はQ05。技術上の判定はauthority3。権限なしでは19〜22列の見出し・値とも出力しない。</x:v>
      </x:c>
    </x:row>
    <x:row r="57" ht="176" customHeight="1">
      <x:c r="A57" s="10" t="str">
        <x:v>3004P-29</x:v>
      </x:c>
      <x:c r="B57" s="10" t="str">
        <x:v>権限</x:v>
      </x:c>
      <x:c r="C57" s="10" t="str">
        <x:v>「取引先契約確認」：金額表示の権限がない場合は、金額の4列が出力されない</x:v>
      </x:c>
      <x:c r="D57" s="10" t="str">
        <x:v>【前提条件】
・共通の前提のとおり。
・ログインユーザーの金額表示の権限（担当者マスタの実際の設定項目名はQ05で確認）が「0以下」である。【要確認：金額表示の権限（担当者マスタの実際の設定項目名はQ05で確認）の名称と、担当者マスタでの設定方法】
・「取引先契約確認」タブで、検索すると行が出る日付がある。</x:v>
      </x:c>
      <x:c r="E57" s="10" t="str">
        <x:v>1. 金額表示の権限がない担当者でログインし、メニュー(MCM0001U)で「作業予定検索」ボタンを押下し、MCM3004Uを表示する。
2. 「取引先契約確認」タブを選択する。
3. 「日付」の入力欄に、一覧に行が出る日付（例：初期値のシステム日付）が入っていることを確認し、「検索」ボタンを押下する。
4. 一覧に「標準価格合計」「仕切り価格小計」「出精値引き」「仕切り価格合計」の列が表示されていないことを確認する。
5. 取得したファイルを手動で開いたExcelの1行目を確認する。
6. 共通手順W01に従い対象ファイルを取得し、Excelで開いて本ケースの期待結果を確認する。異常系はファイルが取得されないことを確認する。</x:v>
      </x:c>
      <x:c r="F57" s="10" t="str">
        <x:v>1. 1行目が18個の見出しで、最後が「保守契約時間帯」である（金額の4列の見出しがない）。
2. 19列目以降（S列以降）に値がない。</x:v>
      </x:c>
      <x:c r="G57" s="10" t="str">
        <x:v>－</x:v>
      </x:c>
      <x:c r="H57" s="10"/>
      <x:c r="I57" s="10"/>
      <x:c r="J57" s="13"/>
      <x:c r="K57" s="10"/>
      <x:c r="L57" s="10"/>
      <x:c r="M57" s="10"/>
      <x:c r="N57" s="13"/>
      <x:c r="O57" s="10" t="str">
        <x:f>IF(L57&lt;&gt;"",L57,IF(H57="","未実施",H57))</x:f>
        <x:v>未実施</x:v>
      </x:c>
      <x:c r="P57" s="10" t="str">
        <x:v>担当者マスタの利用者向け設定項目名・選択肢はQ05。技術上の判定はauthority3。権限なしでは19〜22列の見出し・値とも出力しない。</x:v>
      </x:c>
    </x:row>
    <x:row r="58" ht="176" customHeight="1">
      <x:c r="A58" s="10" t="str">
        <x:v>3004P-30</x:v>
      </x:c>
      <x:c r="B58" s="10" t="str">
        <x:v>パック表示</x:v>
      </x:c>
      <x:c r="C58" s="10" t="str">
        <x:v>「取引先契約確認」：「出精値引き」などの金額が「0」の行が、「通常」に変わらない</x:v>
      </x:c>
      <x:c r="D58" s="10" t="str">
        <x:v>【前提条件】
・共通の前提のとおり。
・ログインユーザーの利用権限3が「1以上」である。【要確認：利用権限3の名称】
・「取引先契約確認」タブの検索結果に、「出精値引き」が「0」（画面では「¥0」）の行がある。【要確認：そのデータが存在するか】</x:v>
      </x:c>
      <x:c r="E58" s="10" t="str">
        <x:v>1. 利用権限3がある担当者でログインし、メニュー(MCM0001U)で「作業予定検索」ボタンを押下し、MCM3004Uを表示する。
2. 「取引先契約確認」タブを選択する。
3. 「日付」の入力欄に、一覧に行が出る日付（例：初期値のシステム日付）が入っていることを確認し、「検索」ボタンを押下する。
4. 「出精値引き」が「¥0」の行の契約番号を控える。
5. 取得したファイルを手動で開いたExcelで、控えた契約番号の行の「出精値引き」の列（U列）を確認する。
6. 共通手順W01に従い対象ファイルを取得し、Excelで開いて本ケースの期待結果を確認する。異常系はファイルが取得されないことを確認する。</x:v>
      </x:c>
      <x:c r="F58" s="10" t="str">
        <x:v>金額列の0・1は数値として保持し、「通常」「パック」へ変換しない。パック区分だけ名称に変換する。</x:v>
      </x:c>
      <x:c r="G58" s="10" t="str">
        <x:v>－</x:v>
      </x:c>
      <x:c r="H58" s="10"/>
      <x:c r="I58" s="10"/>
      <x:c r="J58" s="13"/>
      <x:c r="K58" s="10"/>
      <x:c r="L58" s="10"/>
      <x:c r="M58" s="10"/>
      <x:c r="N58" s="13"/>
      <x:c r="O58" s="10" t="str">
        <x:f>IF(L58&lt;&gt;"",L58,IF(H58="","未実施",H58))</x:f>
        <x:v>未実施</x:v>
      </x:c>
      <x:c r="P58" s="10" t="str">
        <x:v>F03：現行convertValueはtab2／9の全セルを変換。0だけでなく1と文字列コードにも追加ケースで確認。</x:v>
      </x:c>
    </x:row>
    <x:row r="59" ht="176" customHeight="1">
      <x:c r="A59" s="10" t="str">
        <x:v>3004P-31</x:v>
      </x:c>
      <x:c r="B59" s="10" t="str">
        <x:v>0件</x:v>
      </x:c>
      <x:c r="C59" s="10" t="str">
        <x:v>「ユーザ契約終息確認」：一覧が0行のときに「Excel出力」を押下した場合</x:v>
      </x:c>
      <x:c r="D59" s="10" t="str">
        <x:v>【前提条件】
・「ユーザ契約終息確認」タブで、検索しても一覧に行が出ない基準月と対象期間（例：契約がない将来の月）が分かっている。</x:v>
      </x:c>
      <x:c r="E59" s="10" t="str">
        <x:v>1. メニュー(MCM0001U)で「作業予定検索」ボタンを押下し、MCM3004Uを表示する。
2. 「ユーザ契約終息確認」タブを選択する。
3. 「基準月」の入力欄に、行が出ない基準月を入力し、「対象期間」の入力欄に「1」を入力して、「検索」ボタンを押下する。
4. 検索時に表示されたメッセージを確認し、「OK」を押下する。
5. 「Excel出力」ボタンを押下する。
6. 表示されたメッセージを確認し、「OK」を押下する。
7. 共通手順W01に従い対象ファイルを取得し、Excelで開いて本ケースの期待結果を確認する。異常系はファイルが取得されないことを確認する。</x:v>
      </x:c>
      <x:c r="F59" s="10" t="str">
        <x:v>当該タブの検索結果0件では対象なしを通知する。続けてExcel出力を押しても対象なしで中止し、他タブの結果・見出しだけの帳票を取得させない。</x:v>
      </x:c>
      <x:c r="G59" s="10" t="str">
        <x:v>Web画面の通知を確認する。対応する内容：検索結果が1件も存在しません。（VBのダイアログタイトル・アイコン・メッセージIDは合否対象外）</x:v>
      </x:c>
      <x:c r="H59" s="10"/>
      <x:c r="I59" s="10"/>
      <x:c r="J59" s="13"/>
      <x:c r="K59" s="10"/>
      <x:c r="L59" s="10"/>
      <x:c r="M59" s="10"/>
      <x:c r="N59" s="13"/>
      <x:c r="O59" s="10" t="str">
        <x:f>IF(L59&lt;&gt;"",L59,IF(H59="","未実施",H59))</x:f>
        <x:v>未実施</x:v>
      </x:c>
      <x:c r="P59" s="10" t="str">
        <x:v>タブ別の0件ガードを確認。同じ文言でも対象タブの状態が異なるので9ケースを保持。Webの通知位置と文言はController・画面で照合。</x:v>
      </x:c>
    </x:row>
    <x:row r="60" ht="190" customHeight="1">
      <x:c r="A60" s="10" t="str">
        <x:v>3004P-32</x:v>
      </x:c>
      <x:c r="B60" s="10" t="str">
        <x:v>0件</x:v>
      </x:c>
      <x:c r="C60" s="10" t="str">
        <x:v>「取引先契約終息確認」：一覧が0行のときに「Excel出力」を押下した場合</x:v>
      </x:c>
      <x:c r="D60" s="10" t="str">
        <x:v>【前提条件】
・「取引先契約終息確認」タブで、検索しても一覧に行が出ない基準月と対象期間（例：契約がない将来の月）が分かっている。</x:v>
      </x:c>
      <x:c r="E60" s="10" t="str">
        <x:v>1. メニュー(MCM0001U)で「作業予定検索」ボタンを押下し、MCM3004Uを表示する。
2. 「取引先契約終息確認」タブを選択する。
3. 「基準月」の入力欄に、行が出ない基準月を入力し、「対象期間」の入力欄に「1」を入力して、「全て」を選択し、「検索」ボタンを押下する。
4. 検索時に表示されたメッセージを確認し、「OK」を押下する。
5. 「Excel出力」ボタンを押下する。
6. 表示されたメッセージを確認し、「OK」を押下する。
7. 共通手順W01に従い対象ファイルを取得し、Excelで開いて本ケースの期待結果を確認する。異常系はファイルが取得されないことを確認する。</x:v>
      </x:c>
      <x:c r="F60" s="10" t="str">
        <x:v>当該タブの検索結果0件では対象なしを通知する。続けてExcel出力を押しても対象なしで中止し、他タブの結果・見出しだけの帳票を取得させない。</x:v>
      </x:c>
      <x:c r="G60" s="10" t="str">
        <x:v>Web画面の通知を確認する。対応する内容：検索結果が1件も存在しません。（VBのダイアログタイトル・アイコン・メッセージIDは合否対象外）</x:v>
      </x:c>
      <x:c r="H60" s="10"/>
      <x:c r="I60" s="10"/>
      <x:c r="J60" s="13"/>
      <x:c r="K60" s="10"/>
      <x:c r="L60" s="10"/>
      <x:c r="M60" s="10"/>
      <x:c r="N60" s="13"/>
      <x:c r="O60" s="10" t="str">
        <x:f>IF(L60&lt;&gt;"",L60,IF(H60="","未実施",H60))</x:f>
        <x:v>未実施</x:v>
      </x:c>
      <x:c r="P60" s="10" t="str">
        <x:v>タブ別の0件ガードを確認。同じ文言でも対象タブの状態が異なるので9ケースを保持。Webの通知位置と文言はController・画面で照合。</x:v>
      </x:c>
    </x:row>
    <x:row r="61" ht="176" customHeight="1">
      <x:c r="A61" s="10" t="str">
        <x:v>3004P-33</x:v>
      </x:c>
      <x:c r="B61" s="10" t="str">
        <x:v>0件</x:v>
      </x:c>
      <x:c r="C61" s="10" t="str">
        <x:v>「個体終息確認（通常更新）」：一覧が0行のときに「Excel出力」を押下した場合</x:v>
      </x:c>
      <x:c r="D61" s="10" t="str">
        <x:v>【前提条件】
・「個体終息確認（通常更新）」タブで、検索しても一覧に行が出ない基準月と対象期間（例：契約がない将来の月）が分かっている。</x:v>
      </x:c>
      <x:c r="E61" s="10" t="str">
        <x:v>1. メニュー(MCM0001U)で「作業予定検索」ボタンを押下し、MCM3004Uを表示する。
2. 「個体終息確認（通常更新）」タブを選択する。
3. 「基準月」の入力欄に、行が出ない基準月を入力し、「対象期間」の入力欄に「1」を入力して、「検索」ボタンを押下する。
4. 検索時に表示されたメッセージを確認し、「OK」を押下する。
5. 「Excel出力」ボタンを押下する。
6. 表示されたメッセージを確認し、「OK」を押下する。
7. 共通手順W01に従い対象ファイルを取得し、Excelで開いて本ケースの期待結果を確認する。異常系はファイルが取得されないことを確認する。</x:v>
      </x:c>
      <x:c r="F61" s="10" t="str">
        <x:v>当該タブの検索結果0件では対象なしを通知する。続けてExcel出力を押しても対象なしで中止し、他タブの結果・見出しだけの帳票を取得させない。</x:v>
      </x:c>
      <x:c r="G61" s="10" t="str">
        <x:v>Web画面の通知を確認する。対応する内容：検索結果が1件も存在しません。（VBのダイアログタイトル・アイコン・メッセージIDは合否対象外）</x:v>
      </x:c>
      <x:c r="H61" s="10"/>
      <x:c r="I61" s="10"/>
      <x:c r="J61" s="13"/>
      <x:c r="K61" s="10"/>
      <x:c r="L61" s="10"/>
      <x:c r="M61" s="10"/>
      <x:c r="N61" s="13"/>
      <x:c r="O61" s="10" t="str">
        <x:f>IF(L61&lt;&gt;"",L61,IF(H61="","未実施",H61))</x:f>
        <x:v>未実施</x:v>
      </x:c>
      <x:c r="P61" s="10" t="str">
        <x:v>タブ別の0件ガードを確認。同じ文言でも対象タブの状態が異なるので9ケースを保持。Webの通知位置と文言はController・画面で照合。</x:v>
      </x:c>
    </x:row>
    <x:row r="62" ht="176" customHeight="1">
      <x:c r="A62" s="10" t="str">
        <x:v>3004P-34</x:v>
      </x:c>
      <x:c r="B62" s="10" t="str">
        <x:v>0件</x:v>
      </x:c>
      <x:c r="C62" s="10" t="str">
        <x:v>「個体終息確認（契約完了）」：一覧が0行のときに「Excel出力」を押下した場合</x:v>
      </x:c>
      <x:c r="D62" s="10" t="str">
        <x:v>【前提条件】
・「個体終息確認（契約完了）」タブで、検索しても一覧に行が出ない基準月と対象期間（例：契約がない将来の月）が分かっている。</x:v>
      </x:c>
      <x:c r="E62" s="10" t="str">
        <x:v>1. メニュー(MCM0001U)で「作業予定検索」ボタンを押下し、MCM3004Uを表示する。
2. 「個体終息確認（契約完了）」タブを選択する。
3. 「基準月」の入力欄に、行が出ない基準月を入力し、「対象期間」の入力欄に「1」を入力して、「検索」ボタンを押下する。
4. 検索時に表示されたメッセージを確認し、「OK」を押下する。
5. 「Excel出力」ボタンを押下する。
6. 表示されたメッセージを確認し、「OK」を押下する。
7. 共通手順W01に従い対象ファイルを取得し、Excelで開いて本ケースの期待結果を確認する。異常系はファイルが取得されないことを確認する。</x:v>
      </x:c>
      <x:c r="F62" s="10" t="str">
        <x:v>当該タブの検索結果0件では対象なしを通知する。続けてExcel出力を押しても対象なしで中止し、他タブの結果・見出しだけの帳票を取得させない。</x:v>
      </x:c>
      <x:c r="G62" s="10" t="str">
        <x:v>Web画面の通知を確認する。対応する内容：検索結果が1件も存在しません。（VBのダイアログタイトル・アイコン・メッセージIDは合否対象外）</x:v>
      </x:c>
      <x:c r="H62" s="10"/>
      <x:c r="I62" s="10"/>
      <x:c r="J62" s="13"/>
      <x:c r="K62" s="10"/>
      <x:c r="L62" s="10"/>
      <x:c r="M62" s="10"/>
      <x:c r="N62" s="13"/>
      <x:c r="O62" s="10" t="str">
        <x:f>IF(L62&lt;&gt;"",L62,IF(H62="","未実施",H62))</x:f>
        <x:v>未実施</x:v>
      </x:c>
      <x:c r="P62" s="10" t="str">
        <x:v>タブ別の0件ガードを確認。同じ文言でも対象タブの状態が異なるので9ケースを保持。Webの通知位置と文言はController・画面で照合。</x:v>
      </x:c>
    </x:row>
    <x:row r="63" ht="204" customHeight="1">
      <x:c r="A63" s="10" t="str">
        <x:v>3004P-35</x:v>
      </x:c>
      <x:c r="B63" s="10" t="str">
        <x:v>0件</x:v>
      </x:c>
      <x:c r="C63" s="10" t="str">
        <x:v>「契約差異確認」：一覧が0行のときに「Excel出力」を押下した場合</x:v>
      </x:c>
      <x:c r="D63" s="10" t="str">
        <x:v>【前提条件】
・「契約差異確認」タブで、検索しても一覧に行が出ない基準月と対象期間（例：契約がない将来の月）が分かっている。</x:v>
      </x:c>
      <x:c r="E63" s="10" t="str">
        <x:v>1. メニュー(MCM0001U)で「作業予定検索」ボタンを押下し、MCM3004Uを表示する。
2. 「契約差異確認」タブを選択する。
3. 「基準月」の入力欄に、行が出ない基準月を入力し、「対象期間」の入力欄に「1」を入力して、「ユーザ契約を基準に取引先契約が不足しているもの」を選択し、「検索」ボタンを押下する。
4. 検索時に表示されたメッセージを確認し、「OK」を押下する。
5. 「Excel出力」ボタンを押下する。
6. 表示されたメッセージを確認し、「OK」を押下する。
7. 共通手順W01に従い対象ファイルを取得し、Excelで開いて本ケースの期待結果を確認する。異常系はファイルが取得されないことを確認する。</x:v>
      </x:c>
      <x:c r="F63" s="10" t="str">
        <x:v>当該タブの検索結果0件では対象なしを通知する。続けてExcel出力を押しても対象なしで中止し、他タブの結果・見出しだけの帳票を取得させない。</x:v>
      </x:c>
      <x:c r="G63" s="10" t="str">
        <x:v>Web画面の通知を確認する。対応する内容：検索結果が1件も存在しません。（VBのダイアログタイトル・アイコン・メッセージIDは合否対象外）</x:v>
      </x:c>
      <x:c r="H63" s="10"/>
      <x:c r="I63" s="10"/>
      <x:c r="J63" s="13"/>
      <x:c r="K63" s="10"/>
      <x:c r="L63" s="10"/>
      <x:c r="M63" s="10"/>
      <x:c r="N63" s="13"/>
      <x:c r="O63" s="10" t="str">
        <x:f>IF(L63&lt;&gt;"",L63,IF(H63="","未実施",H63))</x:f>
        <x:v>未実施</x:v>
      </x:c>
      <x:c r="P63" s="10" t="str">
        <x:v>タブ別の0件ガードを確認。同じ文言でも対象タブの状態が異なるので9ケースを保持。Webの通知位置と文言はController・画面で照合。</x:v>
      </x:c>
    </x:row>
    <x:row r="64" ht="176" customHeight="1">
      <x:c r="A64" s="10" t="str">
        <x:v>3004P-36</x:v>
      </x:c>
      <x:c r="B64" s="10" t="str">
        <x:v>0件</x:v>
      </x:c>
      <x:c r="C64" s="10" t="str">
        <x:v>「不足製番確認」：一覧が0行のときに「Excel出力」を押下した場合</x:v>
      </x:c>
      <x:c r="D64" s="10" t="str">
        <x:v>【前提条件】
・「不足製番確認」タブで、検索しても一覧に行が出ない基準月と対象期間（例：契約がない将来の月）が分かっている。</x:v>
      </x:c>
      <x:c r="E64" s="10" t="str">
        <x:v>1. メニュー(MCM0001U)で「作業予定検索」ボタンを押下し、MCM3004Uを表示する。
2. 「不足製番確認」タブを選択する。
3. 「基準月」の入力欄に、行が出ない基準月を入力し、「対象期間」の入力欄に「1」を入力して、「検索」ボタンを押下する。
4. 検索時に表示されたメッセージを確認し、「OK」を押下する。
5. 「Excel出力」ボタンを押下する。
6. 表示されたメッセージを確認し、「OK」を押下する。
7. 共通手順W01に従い対象ファイルを取得し、Excelで開いて本ケースの期待結果を確認する。異常系はファイルが取得されないことを確認する。</x:v>
      </x:c>
      <x:c r="F64" s="10" t="str">
        <x:v>当該タブの検索結果0件では対象なしを通知する。続けてExcel出力を押しても対象なしで中止し、他タブの結果・見出しだけの帳票を取得させない。</x:v>
      </x:c>
      <x:c r="G64" s="10" t="str">
        <x:v>Web画面の通知を確認する。対応する内容：検索結果が1件も存在しません。（VBのダイアログタイトル・アイコン・メッセージIDは合否対象外）</x:v>
      </x:c>
      <x:c r="H64" s="10"/>
      <x:c r="I64" s="10"/>
      <x:c r="J64" s="13"/>
      <x:c r="K64" s="10"/>
      <x:c r="L64" s="10"/>
      <x:c r="M64" s="10"/>
      <x:c r="N64" s="13"/>
      <x:c r="O64" s="10" t="str">
        <x:f>IF(L64&lt;&gt;"",L64,IF(H64="","未実施",H64))</x:f>
        <x:v>未実施</x:v>
      </x:c>
      <x:c r="P64" s="10" t="str">
        <x:v>タブ別の0件ガードを確認。同じ文言でも対象タブの状態が異なるので9ケースを保持。Webの通知位置と文言はController・画面で照合。</x:v>
      </x:c>
    </x:row>
    <x:row r="65" ht="190" customHeight="1">
      <x:c r="A65" s="10" t="str">
        <x:v>3004P-37</x:v>
      </x:c>
      <x:c r="B65" s="10" t="str">
        <x:v>0件</x:v>
      </x:c>
      <x:c r="C65" s="10" t="str">
        <x:v>「予定登録検索」：一覧が0行のときに「Excel出力」を押下した場合</x:v>
      </x:c>
      <x:c r="D65" s="10" t="str">
        <x:v>【前提条件】
・「予定登録検索」タブで、検索しても一覧に行が出ない基準月と対象期間（例：備忘録がない将来の月）が分かっている。</x:v>
      </x:c>
      <x:c r="E65" s="10" t="str">
        <x:v>1. メニュー(MCM0001U)で「作業予定検索」ボタンを押下し、MCM3004Uを表示する。
2. 「予定登録検索」タブを選択する。
3. 「基準月」の入力欄に、行が出ない基準月を入力し、「対象期間」の入力欄に「1」を入力して、「完了したものも含む」のチェックを外し、「検索」ボタンを押下する。
4. 検索時に表示されたメッセージを確認し、「OK」を押下する。
5. 「Excel出力」ボタンを押下する。
6. 表示されたメッセージを確認し、「OK」を押下する。
7. 共通手順W01に従い対象ファイルを取得し、Excelで開いて本ケースの期待結果を確認する。異常系はファイルが取得されないことを確認する。</x:v>
      </x:c>
      <x:c r="F65" s="10" t="str">
        <x:v>当該タブの検索結果0件では対象なしを通知する。続けてExcel出力を押しても対象なしで中止し、他タブの結果・見出しだけの帳票を取得させない。</x:v>
      </x:c>
      <x:c r="G65" s="10" t="str">
        <x:v>Web画面の通知を確認する。対応する内容：検索結果が1件も存在しません。（VBのダイアログタイトル・アイコン・メッセージIDは合否対象外）</x:v>
      </x:c>
      <x:c r="H65" s="10"/>
      <x:c r="I65" s="10"/>
      <x:c r="J65" s="13"/>
      <x:c r="K65" s="10"/>
      <x:c r="L65" s="10"/>
      <x:c r="M65" s="10"/>
      <x:c r="N65" s="13"/>
      <x:c r="O65" s="10" t="str">
        <x:f>IF(L65&lt;&gt;"",L65,IF(H65="","未実施",H65))</x:f>
        <x:v>未実施</x:v>
      </x:c>
      <x:c r="P65" s="10" t="str">
        <x:v>タブ別の0件ガードを確認。同じ文言でも対象タブの状態が異なるので9ケースを保持。Webの通知位置と文言はController・画面で照合。</x:v>
      </x:c>
    </x:row>
    <x:row r="66" ht="176" customHeight="1">
      <x:c r="A66" s="10" t="str">
        <x:v>3004P-38</x:v>
      </x:c>
      <x:c r="B66" s="10" t="str">
        <x:v>0件</x:v>
      </x:c>
      <x:c r="C66" s="10" t="str">
        <x:v>「バッテリー交換」：一覧が0行のときに「Excel出力」を押下した場合</x:v>
      </x:c>
      <x:c r="D66" s="10" t="str">
        <x:v>【前提条件】
・「バッテリー交換」タブで、検索しても一覧に行が出ない基準月と対象期間（例：対象機器がない将来の月）が分かっている。</x:v>
      </x:c>
      <x:c r="E66" s="10" t="str">
        <x:v>1. メニュー(MCM0001U)で「作業予定検索」ボタンを押下し、MCM3004Uを表示する。
2. 「バッテリー交換」タブを選択する。
3. 「基準月」の入力欄に、行が出ない基準月を入力し、「対象期間」の入力欄に「1」を入力して、「検索」ボタンを押下する。
4. 検索時に表示されたメッセージを確認し、「OK」を押下する。
5. 「Excel出力」ボタンを押下する。
6. 表示されたメッセージを確認し、「OK」を押下する。
7. 共通手順W01に従い対象ファイルを取得し、Excelで開いて本ケースの期待結果を確認する。異常系はファイルが取得されないことを確認する。</x:v>
      </x:c>
      <x:c r="F66" s="10" t="str">
        <x:v>当該タブの検索結果0件では対象なしを通知する。続けてExcel出力を押しても対象なしで中止し、他タブの結果・見出しだけの帳票を取得させない。</x:v>
      </x:c>
      <x:c r="G66" s="10" t="str">
        <x:v>Web画面の通知を確認する。対応する内容：検索結果が1件も存在しません。（VBのダイアログタイトル・アイコン・メッセージIDは合否対象外）</x:v>
      </x:c>
      <x:c r="H66" s="10"/>
      <x:c r="I66" s="10"/>
      <x:c r="J66" s="13"/>
      <x:c r="K66" s="10"/>
      <x:c r="L66" s="10"/>
      <x:c r="M66" s="10"/>
      <x:c r="N66" s="13"/>
      <x:c r="O66" s="10" t="str">
        <x:f>IF(L66&lt;&gt;"",L66,IF(H66="","未実施",H66))</x:f>
        <x:v>未実施</x:v>
      </x:c>
      <x:c r="P66" s="10" t="str">
        <x:v>タブ別の0件ガードを確認。同じ文言でも対象タブの状態が異なるので9ケースを保持。Webの通知位置と文言はController・画面で照合。</x:v>
      </x:c>
    </x:row>
    <x:row r="67" ht="190" customHeight="1">
      <x:c r="A67" s="10" t="str">
        <x:v>3004P-39</x:v>
      </x:c>
      <x:c r="B67" s="10" t="str">
        <x:v>0件</x:v>
      </x:c>
      <x:c r="C67" s="10" t="str">
        <x:v>「取引先契約確認」：一覧が0行のときに「Excel出力」を押下した場合</x:v>
      </x:c>
      <x:c r="D67" s="10" t="str">
        <x:v>【前提条件】
・「取引先契約確認」タブで、検索しても一覧に行が出ない「取引先コード」（存在しないコード）が分かっている。</x:v>
      </x:c>
      <x:c r="E67" s="10" t="str">
        <x:v>1. メニュー(MCM0001U)で「作業予定検索」ボタンを押下し、MCM3004Uを表示する。
2. 「取引先契約確認」タブを選択する。
3. 「日付」の入力欄は初期値のままにし、「取引先コード」の入力欄に、存在しない取引先コードを入力して、「検索」ボタンを押下する。
4. 検索時に表示されたメッセージを確認し、「OK」を押下する。
5. 「Excel出力」ボタンを押下する。
6. 表示されたメッセージを確認し、「OK」を押下する。
7. 共通手順W01に従い対象ファイルを取得し、Excelで開いて本ケースの期待結果を確認する。異常系はファイルが取得されないことを確認する。</x:v>
      </x:c>
      <x:c r="F67" s="10" t="str">
        <x:v>当該タブの検索結果0件では対象なしを通知する。続けてExcel出力を押しても対象なしで中止し、他タブの結果・見出しだけの帳票を取得させない。</x:v>
      </x:c>
      <x:c r="G67" s="10" t="str">
        <x:v>Web画面の通知を確認する。対応する内容：検索結果が1件も存在しません。（VBのダイアログタイトル・アイコン・メッセージIDは合否対象外）</x:v>
      </x:c>
      <x:c r="H67" s="10"/>
      <x:c r="I67" s="10"/>
      <x:c r="J67" s="13"/>
      <x:c r="K67" s="10"/>
      <x:c r="L67" s="10"/>
      <x:c r="M67" s="10"/>
      <x:c r="N67" s="13"/>
      <x:c r="O67" s="10" t="str">
        <x:f>IF(L67&lt;&gt;"",L67,IF(H67="","未実施",H67))</x:f>
        <x:v>未実施</x:v>
      </x:c>
      <x:c r="P67" s="10" t="str">
        <x:v>タブ別の0件ガードを確認。同じ文言でも対象タブの状態が異なるので9ケースを保持。Webの通知位置と文言はController・画面で照合。</x:v>
      </x:c>
    </x:row>
    <x:row r="68" ht="162" customHeight="1">
      <x:c r="A68" s="10" t="str">
        <x:v>3004P-40</x:v>
      </x:c>
      <x:c r="B68" s="10" t="str">
        <x:v>権限</x:v>
      </x:c>
      <x:c r="C68" s="10" t="str">
        <x:v>MCM3004U(作業予定検索)：参照のみ権限のユーザーでも「Excel出力」が押下できる</x:v>
      </x:c>
      <x:c r="D68" s="10" t="str">
        <x:v>【前提条件】
・ログインユーザーの「作業予定検索」の画面権限が「参照」である。【要確認：参照権限のユーザーの用意】
・「ユーザ契約終息確認」タブで、検索すると一覧に行が出る基準月と対象期間（例：2026/10、4）がある。</x:v>
      </x:c>
      <x:c r="E68" s="10" t="str">
        <x:v>1. 参照権限のユーザーでログインし、メニュー(MCM0001U)で「作業予定検索」ボタンを押下し、MCM3004Uを表示する。
2. 「ユーザ契約終息確認」タブを選択する。
3. 「基準月」の入力欄に「2026/10」、「対象期間」の入力欄に「4」を入力し、「検索」ボタンを押下する。
4. 「Excel出力」ボタンの状態（押下できるか、グレー表示か）を確認する。
5. 「Excel出力」ボタンを押下する。
6. 共通手順W01に従い対象ファイルを取得し、Excelで開いて本ケースの期待結果を確認する。異常系はファイルが取得されないことを確認する。</x:v>
      </x:c>
      <x:c r="F68" s="10" t="str">
        <x:v>1. 「Excel出力」ボタンが活性（押下できる状態）である。
2. ボタンの押下で、帳票をダウンロードできる。</x:v>
      </x:c>
      <x:c r="G68" s="10" t="str">
        <x:v>－</x:v>
      </x:c>
      <x:c r="H68" s="10"/>
      <x:c r="I68" s="10"/>
      <x:c r="J68" s="13"/>
      <x:c r="K68" s="10"/>
      <x:c r="L68" s="10"/>
      <x:c r="M68" s="10"/>
      <x:c r="N68" s="13"/>
      <x:c r="O68" s="10" t="str">
        <x:f>IF(L68&lt;&gt;"",L68,IF(H68="","未実施",H68))</x:f>
        <x:v>未実施</x:v>
      </x:c>
      <x:c r="P68" s="10" t="str">
        <x:v>Web根拠：Mcm3004pExcelService.java／Mcm3004uController.java。VB比較対象：Mcm3004pExcel.vb・Constant.vbと起動元画面。対応する機能条件は末尾の根拠一覧参照。</x:v>
      </x:c>
    </x:row>
    <x:row r="69" ht="50" customHeight="1">
      <x:c r="A69" s="10" t="str">
        <x:v>3004P-41</x:v>
      </x:c>
      <x:c r="B69" s="10" t="str">
        <x:v>追加／境界</x:v>
      </x:c>
      <x:c r="C69" s="10" t="str">
        <x:v>区分列以外の文字列0・1を保持</x:v>
      </x:c>
      <x:c r="D69" s="10" t="str">
        <x:v>タブ2・7・9でコード／登録ID／備考に文字列0と1を持つ対象を準備。実DBで不可能なら生成単体テストに渡す。</x:v>
      </x:c>
      <x:c r="E69" s="10" t="str">
        <x:v>各タブ出力しセル値・型を確認。</x:v>
      </x:c>
      <x:c r="F69" s="10" t="str">
        <x:v>パック・完了列以外を通常／パック／完了／空欄へ変換しない。</x:v>
      </x:c>
      <x:c r="G69" s="10" t="str">
        <x:v>－</x:v>
      </x:c>
      <x:c r="H69" s="10"/>
      <x:c r="I69" s="10"/>
      <x:c r="J69" s="13"/>
      <x:c r="K69" s="10"/>
      <x:c r="L69" s="10"/>
      <x:c r="M69" s="10"/>
      <x:c r="N69" s="13"/>
      <x:c r="O69" s="10" t="str">
        <x:f>IF(L69&lt;&gt;"",L69,IF(H69="","未実施",H69))</x:f>
        <x:v>未実施</x:v>
      </x:c>
      <x:c r="P69" s="10" t="str">
        <x:v>F03。金額0の既存3004P-30とは対象型・列を区別。</x:v>
      </x:c>
    </x:row>
    <x:row r="70" ht="45" customHeight="1">
      <x:c r="A70" s="10" t="str">
        <x:v>3004P-42</x:v>
      </x:c>
      <x:c r="B70" s="10" t="str">
        <x:v>追加／境界</x:v>
      </x:c>
      <x:c r="C70" s="10" t="str">
        <x:v>非表示金額を直接出力でも取得させない</x:v>
      </x:c>
      <x:c r="D70" s="10" t="str">
        <x:v>金額表示権限なしの利用者。テスト環境でタブ9の出力要求を直接送る。</x:v>
      </x:c>
      <x:c r="E70" s="10" t="str">
        <x:v>金額表示指定を改変して出力。</x:v>
      </x:c>
      <x:c r="F70" s="10" t="str">
        <x:v>サーバ側権限を優先し金額4列の見出し・値を含まない。画面非表示だけに依存しない。</x:v>
      </x:c>
      <x:c r="G70" s="10" t="str">
        <x:v>－</x:v>
      </x:c>
      <x:c r="H70" s="10"/>
      <x:c r="I70" s="10"/>
      <x:c r="J70" s="13"/>
      <x:c r="K70" s="10"/>
      <x:c r="L70" s="10"/>
      <x:c r="M70" s="10"/>
      <x:c r="N70" s="13"/>
      <x:c r="O70" s="10" t="str">
        <x:f>IF(L70&lt;&gt;"",L70,IF(H70="","未実施",H70))</x:f>
        <x:v>未実施</x:v>
      </x:c>
      <x:c r="P70" s="10" t="str">
        <x:v>追加観点。Web根拠一覧参照。</x:v>
      </x:c>
    </x:row>
    <x:row r="71" ht="45" customHeight="1">
      <x:c r="A71" s="10" t="str">
        <x:v>3004P-43</x:v>
      </x:c>
      <x:c r="B71" s="10" t="str">
        <x:v>追加／境界</x:v>
      </x:c>
      <x:c r="C71" s="10" t="str">
        <x:v>未検索・別タブ・期限切れの出力</x:v>
      </x:c>
      <x:c r="D71" s="10" t="str">
        <x:v>タブAだけ検索済み、タブB未検索、または検索状態なし。</x:v>
      </x:c>
      <x:c r="E71" s="10" t="str">
        <x:v>Bに切り替えてExcel出力、状態なしでも出力。</x:v>
      </x:c>
      <x:c r="F71" s="10" t="str">
        <x:v>Bの対象なしを通知し、Aの結果や古い条件を出力しない。</x:v>
      </x:c>
      <x:c r="G71" s="10" t="str">
        <x:v>－</x:v>
      </x:c>
      <x:c r="H71" s="10"/>
      <x:c r="I71" s="10"/>
      <x:c r="J71" s="13"/>
      <x:c r="K71" s="10"/>
      <x:c r="L71" s="10"/>
      <x:c r="M71" s="10"/>
      <x:c r="N71" s="13"/>
      <x:c r="O71" s="10" t="str">
        <x:f>IF(L71&lt;&gt;"",L71,IF(H71="","未実施",H71))</x:f>
        <x:v>未実施</x:v>
      </x:c>
      <x:c r="P71" s="10" t="str">
        <x:v>追加観点。Web根拠一覧参照。</x:v>
      </x:c>
    </x:row>
  </x:sheetData>
  <x:mergeCells>
    <x:mergeCell ref="A1:P1"/>
    <x:mergeCell ref="A3:C3"/>
    <x:mergeCell ref="D3:P3"/>
    <x:mergeCell ref="A4:C4"/>
    <x:mergeCell ref="D4:P4"/>
    <x:mergeCell ref="A6:P6"/>
    <x:mergeCell ref="A7:C7"/>
    <x:mergeCell ref="D7:P7"/>
    <x:mergeCell ref="A8:C8"/>
    <x:mergeCell ref="D8:P8"/>
    <x:mergeCell ref="A9:C9"/>
    <x:mergeCell ref="D9:P9"/>
    <x:mergeCell ref="A10:C10"/>
    <x:mergeCell ref="D10:P10"/>
    <x:mergeCell ref="A14:P14"/>
    <x:mergeCell ref="A16:C16"/>
    <x:mergeCell ref="D16:P16"/>
    <x:mergeCell ref="A17:C17"/>
    <x:mergeCell ref="D17:P17"/>
    <x:mergeCell ref="A18:C18"/>
    <x:mergeCell ref="D18:P18"/>
    <x:mergeCell ref="A20:C20"/>
    <x:mergeCell ref="D20:P20"/>
    <x:mergeCell ref="A26:P26"/>
  </x:mergeCells>
  <x:dataValidations count="2">
    <x:dataValidation type="list" sqref="H29:H71">
      <x:formula1>"未実施,OK,NG,保留,対象外"</x:formula1>
    </x:dataValidation>
    <x:dataValidation type="list" sqref="L29:L71">
      <x:formula1>"未実施,OK,NG,保留,対象外"</x:formula1>
    </x:dataValidation>
  </x:dataValidations>
  <x:pageMargins left="0.7" right="0.7" top="0.75" bottom="0.75" header="0.3" footer="0.3"/>
</x:worksheet>
</file>

<file path=xl/worksheets/sheet14.xml><?xml version="1.0" encoding="utf-8"?>
<x:worksheet xmlns:x="http://schemas.openxmlformats.org/spreadsheetml/2006/main">
  <x:sheetViews>
    <x:sheetView showGridLines="0" workbookViewId="0">
      <x:pane ySplit="27" topLeftCell="A28" activePane="bottomLeft" state="frozen"/>
    </x:sheetView>
  </x:sheetViews>
  <x:sheetFormatPr defaultRowHeight="15"/>
  <x:cols>
    <x:col min="1" max="1" width="13" hidden="0" customWidth="1"/>
    <x:col min="2" max="2" width="14" hidden="0" customWidth="1"/>
    <x:col min="3" max="3" width="44" hidden="0" customWidth="1"/>
    <x:col min="4" max="4" width="52" hidden="0" customWidth="1"/>
    <x:col min="5" max="5" width="60" hidden="0" customWidth="1"/>
    <x:col min="6" max="6" width="64" hidden="0" customWidth="1"/>
    <x:col min="7" max="7" width="40" hidden="0" customWidth="1"/>
    <x:col min="8" max="8" width="12" hidden="0" customWidth="1"/>
    <x:col min="9" max="9" width="14" hidden="0" customWidth="1"/>
    <x:col min="10" max="10" width="15" hidden="0" customWidth="1"/>
    <x:col min="11" max="11" width="40" hidden="0" customWidth="1"/>
    <x:col min="12" max="12" width="14" hidden="0" customWidth="1"/>
    <x:col min="13" max="13" width="17" hidden="0" customWidth="1"/>
    <x:col min="14" max="14" width="17" hidden="0" customWidth="1"/>
    <x:col min="15" max="15" width="13" hidden="0" customWidth="1"/>
    <x:col min="16" max="16" width="54" hidden="0" customWidth="1"/>
  </x:cols>
  <x:sheetData>
    <x:row r="1" ht="26" customHeight="1">
      <x:c r="A1" s="4" t="str">
        <x:v>MCM3005P_支払い明細 単体テスト仕様書</x:v>
      </x:c>
      <x:c r="B1" s="4"/>
      <x:c r="C1" s="4"/>
      <x:c r="D1" s="4"/>
      <x:c r="E1" s="4"/>
      <x:c r="F1" s="4"/>
      <x:c r="G1" s="4"/>
      <x:c r="H1" s="4"/>
      <x:c r="I1" s="4"/>
      <x:c r="J1" s="4"/>
      <x:c r="K1" s="4"/>
      <x:c r="L1" s="4"/>
      <x:c r="M1" s="4"/>
      <x:c r="N1" s="4"/>
      <x:c r="O1" s="4"/>
      <x:c r="P1" s="4"/>
    </x:row>
    <x:row r="2">
      <x:c r="A2" s="3"/>
      <x:c r="B2" s="3"/>
      <x:c r="C2" s="3"/>
      <x:c r="D2" s="3"/>
      <x:c r="E2" s="3"/>
      <x:c r="F2" s="3"/>
      <x:c r="G2" s="3"/>
      <x:c r="H2" s="3"/>
      <x:c r="I2" s="3"/>
      <x:c r="J2" s="3"/>
      <x:c r="K2" s="3"/>
      <x:c r="L2" s="3"/>
      <x:c r="M2" s="3"/>
      <x:c r="N2" s="3"/>
      <x:c r="O2" s="3"/>
      <x:c r="P2" s="3"/>
    </x:row>
    <x:row r="3" ht="34" customHeight="1">
      <x:c r="A3" s="3" t="str">
        <x:v>画面情報</x:v>
      </x:c>
      <x:c r="B3" s="3"/>
      <x:c r="C3" s="3"/>
      <x:c r="D3" s="3" t="str">
        <x:v>起点：支払い明細出力指示（MCM3002U）で「出力」し同じZIPから支払い明細を開く。</x:v>
      </x:c>
      <x:c r="E3" s="3"/>
      <x:c r="F3" s="3"/>
      <x:c r="G3" s="3"/>
      <x:c r="H3" s="3"/>
      <x:c r="I3" s="3"/>
      <x:c r="J3" s="3"/>
      <x:c r="K3" s="3"/>
      <x:c r="L3" s="3"/>
      <x:c r="M3" s="3"/>
      <x:c r="N3" s="3"/>
      <x:c r="O3" s="3"/>
      <x:c r="P3" s="3"/>
    </x:row>
    <x:row r="4" ht="48" customHeight="1">
      <x:c r="A4" s="3" t="str">
        <x:v>出力形式・名称</x:v>
      </x:c>
      <x:c r="B4" s="3"/>
      <x:c r="C4" s="3"/>
      <x:c r="D4" s="3" t="str">
        <x:v>取得形式／名前：同じ支払帳票.zip → {YYYYMM}_{年払または月払}_支払い明細.xls。共通W01〜W06も実施する。</x:v>
      </x:c>
      <x:c r="E4" s="3"/>
      <x:c r="F4" s="3"/>
      <x:c r="G4" s="3"/>
      <x:c r="H4" s="3"/>
      <x:c r="I4" s="3"/>
      <x:c r="J4" s="3"/>
      <x:c r="K4" s="3"/>
      <x:c r="L4" s="3"/>
      <x:c r="M4" s="3"/>
      <x:c r="N4" s="3"/>
      <x:c r="O4" s="3"/>
      <x:c r="P4" s="3"/>
    </x:row>
    <x:row r="5">
      <x:c r="A5" s="3"/>
      <x:c r="B5" s="3"/>
      <x:c r="C5" s="3"/>
      <x:c r="D5" s="3"/>
      <x:c r="E5" s="3"/>
      <x:c r="F5" s="3"/>
      <x:c r="G5" s="3"/>
      <x:c r="H5" s="3"/>
      <x:c r="I5" s="3"/>
      <x:c r="J5" s="3"/>
      <x:c r="K5" s="3"/>
      <x:c r="L5" s="3"/>
      <x:c r="M5" s="3"/>
      <x:c r="N5" s="3"/>
      <x:c r="O5" s="3"/>
      <x:c r="P5" s="3"/>
    </x:row>
    <x:row r="6">
      <x:c r="A6" s="6" t="str">
        <x:v>根拠ソース</x:v>
      </x:c>
      <x:c r="B6" s="6" t="str">
        <x:v>根拠ソース</x:v>
      </x:c>
      <x:c r="C6" s="6" t="str">
        <x:v>根拠ソース</x:v>
      </x:c>
      <x:c r="D6" s="6" t="str">
        <x:v>根拠ソース</x:v>
      </x:c>
      <x:c r="E6" s="6" t="str">
        <x:v>根拠ソース</x:v>
      </x:c>
      <x:c r="F6" s="6" t="str">
        <x:v>根拠ソース</x:v>
      </x:c>
      <x:c r="G6" s="6" t="str">
        <x:v>根拠ソース</x:v>
      </x:c>
      <x:c r="H6" s="6" t="str">
        <x:v>根拠ソース</x:v>
      </x:c>
      <x:c r="I6" s="6" t="str">
        <x:v>根拠ソース</x:v>
      </x:c>
      <x:c r="J6" s="6" t="str">
        <x:v>根拠ソース</x:v>
      </x:c>
      <x:c r="K6" s="6" t="str">
        <x:v>根拠ソース</x:v>
      </x:c>
      <x:c r="L6" s="6" t="str">
        <x:v>根拠ソース</x:v>
      </x:c>
      <x:c r="M6" s="6" t="str">
        <x:v>根拠ソース</x:v>
      </x:c>
      <x:c r="N6" s="6" t="str">
        <x:v>根拠ソース</x:v>
      </x:c>
      <x:c r="O6" s="6" t="str">
        <x:v>根拠ソース</x:v>
      </x:c>
      <x:c r="P6" s="6" t="str">
        <x:v>根拠ソース</x:v>
      </x:c>
    </x:row>
    <x:row r="7" ht="26" customHeight="1">
      <x:c r="A7" s="3" t="str">
        <x:v>VB版</x:v>
      </x:c>
      <x:c r="B7" s="3"/>
      <x:c r="C7" s="3"/>
      <x:c r="D7" s="3" t="str">
        <x:v>帳票のExcel.vb・Constant.vb／起動元イベント。既知不具合は再現を合格にしない。</x:v>
      </x:c>
      <x:c r="E7" s="3"/>
      <x:c r="F7" s="3"/>
      <x:c r="G7" s="3"/>
      <x:c r="H7" s="3"/>
      <x:c r="I7" s="3"/>
      <x:c r="J7" s="3"/>
      <x:c r="K7" s="3"/>
      <x:c r="L7" s="3"/>
      <x:c r="M7" s="3"/>
      <x:c r="N7" s="3"/>
      <x:c r="O7" s="3"/>
      <x:c r="P7" s="3"/>
    </x:row>
    <x:row r="8" ht="26" customHeight="1">
      <x:c r="A8" s="3" t="str">
        <x:v>Java版</x:v>
      </x:c>
      <x:c r="B8" s="3"/>
      <x:c r="C8" s="3"/>
      <x:c r="D8" s="3" t="str">
        <x:v>最新Webの帳票Service・起動元Controller。本文の備考／根拠欄とMD末尾を参照。</x:v>
      </x:c>
      <x:c r="E8" s="3"/>
      <x:c r="F8" s="3"/>
      <x:c r="G8" s="3"/>
      <x:c r="H8" s="3"/>
      <x:c r="I8" s="3"/>
      <x:c r="J8" s="3"/>
      <x:c r="K8" s="3"/>
      <x:c r="L8" s="3"/>
      <x:c r="M8" s="3"/>
      <x:c r="N8" s="3"/>
      <x:c r="O8" s="3"/>
      <x:c r="P8" s="3"/>
    </x:row>
    <x:row r="9" ht="26" customHeight="1">
      <x:c r="A9" s="3" t="str">
        <x:v>メッセージ</x:v>
      </x:c>
      <x:c r="B9" s="3"/>
      <x:c r="C9" s="3"/>
      <x:c r="D9" s="3" t="str">
        <x:v>Web画面の通知で判断。VBのネイティブダイアログ・Excel自動起動を要求しない。</x:v>
      </x:c>
      <x:c r="E9" s="3"/>
      <x:c r="F9" s="3"/>
      <x:c r="G9" s="3"/>
      <x:c r="H9" s="3"/>
      <x:c r="I9" s="3"/>
      <x:c r="J9" s="3"/>
      <x:c r="K9" s="3"/>
      <x:c r="L9" s="3"/>
      <x:c r="M9" s="3"/>
      <x:c r="N9" s="3"/>
      <x:c r="O9" s="3"/>
      <x:c r="P9" s="3"/>
    </x:row>
    <x:row r="10" ht="26" customHeight="1">
      <x:c r="A10" s="3" t="str">
        <x:v>参照資料</x:v>
      </x:c>
      <x:c r="B10" s="3"/>
      <x:c r="C10" s="3"/>
      <x:c r="D10" s="3" t="str">
        <x:v>同梱MDの共通確認・F01〜F04・Q01〜Q06。正式な実機確認結果はこれから記入する。</x:v>
      </x:c>
      <x:c r="E10" s="3"/>
      <x:c r="F10" s="3"/>
      <x:c r="G10" s="3"/>
      <x:c r="H10" s="3"/>
      <x:c r="I10" s="3"/>
      <x:c r="J10" s="3"/>
      <x:c r="K10" s="3"/>
      <x:c r="L10" s="3"/>
      <x:c r="M10" s="3"/>
      <x:c r="N10" s="3"/>
      <x:c r="O10" s="3"/>
      <x:c r="P10" s="3"/>
    </x:row>
    <x:row r="11">
      <x:c r="A11" s="3"/>
      <x:c r="B11" s="3"/>
      <x:c r="C11" s="3"/>
      <x:c r="D11" s="3"/>
      <x:c r="E11" s="3"/>
      <x:c r="F11" s="3"/>
      <x:c r="G11" s="3"/>
      <x:c r="H11" s="3"/>
      <x:c r="I11" s="3"/>
      <x:c r="J11" s="3"/>
      <x:c r="K11" s="3"/>
      <x:c r="L11" s="3"/>
      <x:c r="M11" s="3"/>
      <x:c r="N11" s="3"/>
      <x:c r="O11" s="3"/>
      <x:c r="P11" s="3"/>
    </x:row>
    <x:row r="12">
      <x:c r="A12" s="3"/>
      <x:c r="B12" s="3"/>
      <x:c r="C12" s="3"/>
      <x:c r="D12" s="3"/>
      <x:c r="E12" s="3"/>
      <x:c r="F12" s="3"/>
      <x:c r="G12" s="3"/>
      <x:c r="H12" s="3"/>
      <x:c r="I12" s="3"/>
      <x:c r="J12" s="3"/>
      <x:c r="K12" s="3"/>
      <x:c r="L12" s="3"/>
      <x:c r="M12" s="3"/>
      <x:c r="N12" s="3"/>
      <x:c r="O12" s="3"/>
      <x:c r="P12" s="3"/>
    </x:row>
    <x:row r="13">
      <x:c r="A13" s="3"/>
      <x:c r="B13" s="3"/>
      <x:c r="C13" s="3"/>
      <x:c r="D13" s="3"/>
      <x:c r="E13" s="3"/>
      <x:c r="F13" s="3"/>
      <x:c r="G13" s="3"/>
      <x:c r="H13" s="3"/>
      <x:c r="I13" s="3"/>
      <x:c r="J13" s="3"/>
      <x:c r="K13" s="3"/>
      <x:c r="L13" s="3"/>
      <x:c r="M13" s="3"/>
      <x:c r="N13" s="3"/>
      <x:c r="O13" s="3"/>
      <x:c r="P13" s="3"/>
    </x:row>
    <x:row r="14">
      <x:c r="A14" s="6" t="str">
        <x:v>機能一覧</x:v>
      </x:c>
      <x:c r="B14" s="6" t="str">
        <x:v>機能一覧</x:v>
      </x:c>
      <x:c r="C14" s="6" t="str">
        <x:v>機能一覧</x:v>
      </x:c>
      <x:c r="D14" s="6" t="str">
        <x:v>機能一覧</x:v>
      </x:c>
      <x:c r="E14" s="6" t="str">
        <x:v>機能一覧</x:v>
      </x:c>
      <x:c r="F14" s="6" t="str">
        <x:v>機能一覧</x:v>
      </x:c>
      <x:c r="G14" s="6" t="str">
        <x:v>機能一覧</x:v>
      </x:c>
      <x:c r="H14" s="6" t="str">
        <x:v>機能一覧</x:v>
      </x:c>
      <x:c r="I14" s="6" t="str">
        <x:v>機能一覧</x:v>
      </x:c>
      <x:c r="J14" s="6" t="str">
        <x:v>機能一覧</x:v>
      </x:c>
      <x:c r="K14" s="6" t="str">
        <x:v>機能一覧</x:v>
      </x:c>
      <x:c r="L14" s="6" t="str">
        <x:v>機能一覧</x:v>
      </x:c>
      <x:c r="M14" s="6" t="str">
        <x:v>機能一覧</x:v>
      </x:c>
      <x:c r="N14" s="6" t="str">
        <x:v>機能一覧</x:v>
      </x:c>
      <x:c r="O14" s="6" t="str">
        <x:v>機能一覧</x:v>
      </x:c>
      <x:c r="P14" s="6" t="str">
        <x:v>機能一覧</x:v>
      </x:c>
    </x:row>
    <x:row r="15">
      <x:c r="A15" s="3"/>
      <x:c r="B15" s="3"/>
      <x:c r="C15" s="3"/>
      <x:c r="D15" s="3"/>
      <x:c r="E15" s="3"/>
      <x:c r="F15" s="3"/>
      <x:c r="G15" s="3"/>
      <x:c r="H15" s="3"/>
      <x:c r="I15" s="3"/>
      <x:c r="J15" s="3"/>
      <x:c r="K15" s="3"/>
      <x:c r="L15" s="3"/>
      <x:c r="M15" s="3"/>
      <x:c r="N15" s="3"/>
      <x:c r="O15" s="3"/>
      <x:c r="P15" s="3"/>
    </x:row>
    <x:row r="16" ht="26" customHeight="1">
      <x:c r="A16" s="3" t="str">
        <x:v>1</x:v>
      </x:c>
      <x:c r="B16" s="3"/>
      <x:c r="C16" s="3"/>
      <x:c r="D16" s="3" t="str">
        <x:v>帳票の対象・項目・シート構成・表示書式・印刷の確認</x:v>
      </x:c>
      <x:c r="E16" s="3"/>
      <x:c r="F16" s="3"/>
      <x:c r="G16" s="3"/>
      <x:c r="H16" s="3"/>
      <x:c r="I16" s="3"/>
      <x:c r="J16" s="3"/>
      <x:c r="K16" s="3"/>
      <x:c r="L16" s="3"/>
      <x:c r="M16" s="3"/>
      <x:c r="N16" s="3"/>
      <x:c r="O16" s="3"/>
      <x:c r="P16" s="3"/>
    </x:row>
    <x:row r="17" ht="26" customHeight="1">
      <x:c r="A17" s="3" t="str">
        <x:v>2</x:v>
      </x:c>
      <x:c r="B17" s="3"/>
      <x:c r="C17" s="3"/>
      <x:c r="D17" s="3" t="str">
        <x:v>0件・入力不備・権限・失敗・境界・計算条件の確認</x:v>
      </x:c>
      <x:c r="E17" s="3"/>
      <x:c r="F17" s="3"/>
      <x:c r="G17" s="3"/>
      <x:c r="H17" s="3"/>
      <x:c r="I17" s="3"/>
      <x:c r="J17" s="3"/>
      <x:c r="K17" s="3"/>
      <x:c r="L17" s="3"/>
      <x:c r="M17" s="3"/>
      <x:c r="N17" s="3"/>
      <x:c r="O17" s="3"/>
      <x:c r="P17" s="3"/>
    </x:row>
    <x:row r="18" ht="26" customHeight="1">
      <x:c r="A18" s="3" t="str">
        <x:v>3</x:v>
      </x:c>
      <x:c r="B18" s="3"/>
      <x:c r="C18" s="3"/>
      <x:c r="D18" s="3" t="str">
        <x:v>共通確認を関連ケースで実施し、重複する取得操作は再利用</x:v>
      </x:c>
      <x:c r="E18" s="3"/>
      <x:c r="F18" s="3"/>
      <x:c r="G18" s="3"/>
      <x:c r="H18" s="3"/>
      <x:c r="I18" s="3"/>
      <x:c r="J18" s="3"/>
      <x:c r="K18" s="3"/>
      <x:c r="L18" s="3"/>
      <x:c r="M18" s="3"/>
      <x:c r="N18" s="3"/>
      <x:c r="O18" s="3"/>
      <x:c r="P18" s="3"/>
    </x:row>
    <x:row r="19">
      <x:c r="A19" s="3"/>
      <x:c r="B19" s="3"/>
      <x:c r="C19" s="3"/>
      <x:c r="D19" s="3"/>
      <x:c r="E19" s="3"/>
      <x:c r="F19" s="3"/>
      <x:c r="G19" s="3"/>
      <x:c r="H19" s="3"/>
      <x:c r="I19" s="3"/>
      <x:c r="J19" s="3"/>
      <x:c r="K19" s="3"/>
      <x:c r="L19" s="3"/>
      <x:c r="M19" s="3"/>
      <x:c r="N19" s="3"/>
      <x:c r="O19" s="3"/>
      <x:c r="P19" s="3"/>
    </x:row>
    <x:row r="20" ht="30" customHeight="1">
      <x:c r="A20" s="3" t="str">
        <x:v>分類</x:v>
      </x:c>
      <x:c r="B20" s="3"/>
      <x:c r="C20" s="3"/>
      <x:c r="D20" s="3" t="str">
        <x:v>出力起点／シート構成／ヘッダー／帳票レイアウト／一覧／合計行／書式／複数取引先／整合／追加／境界</x:v>
      </x:c>
      <x:c r="E20" s="3"/>
      <x:c r="F20" s="3"/>
      <x:c r="G20" s="3"/>
      <x:c r="H20" s="3"/>
      <x:c r="I20" s="3"/>
      <x:c r="J20" s="3"/>
      <x:c r="K20" s="3"/>
      <x:c r="L20" s="3"/>
      <x:c r="M20" s="3"/>
      <x:c r="N20" s="3"/>
      <x:c r="O20" s="3"/>
      <x:c r="P20" s="3"/>
    </x:row>
    <x:row r="21">
      <x:c r="A21" s="3"/>
      <x:c r="B21" s="3"/>
      <x:c r="C21" s="3"/>
      <x:c r="D21" s="3"/>
      <x:c r="E21" s="3"/>
      <x:c r="F21" s="3"/>
      <x:c r="G21" s="3"/>
      <x:c r="H21" s="3"/>
      <x:c r="I21" s="3"/>
      <x:c r="J21" s="3"/>
      <x:c r="K21" s="3"/>
      <x:c r="L21" s="3"/>
      <x:c r="M21" s="3"/>
      <x:c r="N21" s="3"/>
      <x:c r="O21" s="3"/>
      <x:c r="P21" s="3"/>
    </x:row>
    <x:row r="22">
      <x:c r="A22" s="3"/>
      <x:c r="B22" s="3"/>
      <x:c r="C22" s="3"/>
      <x:c r="D22" s="3"/>
      <x:c r="E22" s="3"/>
      <x:c r="F22" s="3"/>
      <x:c r="G22" s="3"/>
      <x:c r="H22" s="3"/>
      <x:c r="I22" s="3"/>
      <x:c r="J22" s="3"/>
      <x:c r="K22" s="3"/>
      <x:c r="L22" s="3"/>
      <x:c r="M22" s="3"/>
      <x:c r="N22" s="3"/>
      <x:c r="O22" s="3"/>
      <x:c r="P22" s="3"/>
    </x:row>
    <x:row r="23">
      <x:c r="A23" s="3" t="str">
        <x:v>件数</x:v>
      </x:c>
      <x:c r="B23" s="3" t="n">
        <x:f>COUNTA(A29:A49)</x:f>
        <x:v>21</x:v>
      </x:c>
      <x:c r="C23" s="3" t="str">
        <x:v>OK</x:v>
      </x:c>
      <x:c r="D23" s="3" t="n">
        <x:f>COUNTIF(O29:O49,"OK")</x:f>
        <x:v>0</x:v>
      </x:c>
      <x:c r="E23" s="3" t="str">
        <x:v>NG</x:v>
      </x:c>
      <x:c r="F23" s="3" t="n">
        <x:f>COUNTIF(O29:O49,"NG")</x:f>
        <x:v>0</x:v>
      </x:c>
      <x:c r="G23" s="3" t="str">
        <x:v>未実施</x:v>
      </x:c>
      <x:c r="H23" s="3" t="n">
        <x:f>COUNTIF(O29:O49,"未実施")</x:f>
        <x:v>21</x:v>
      </x:c>
      <x:c r="I23" s="3"/>
      <x:c r="J23" s="3"/>
      <x:c r="K23" s="3"/>
      <x:c r="L23" s="3"/>
      <x:c r="M23" s="3"/>
      <x:c r="N23" s="3"/>
      <x:c r="O23" s="3"/>
      <x:c r="P23" s="3"/>
    </x:row>
    <x:row r="24">
      <x:c r="A24" s="3"/>
      <x:c r="B24" s="3"/>
      <x:c r="C24" s="3"/>
      <x:c r="D24" s="3"/>
      <x:c r="E24" s="3"/>
      <x:c r="F24" s="3"/>
      <x:c r="G24" s="3"/>
      <x:c r="H24" s="3"/>
      <x:c r="I24" s="3"/>
      <x:c r="J24" s="3"/>
      <x:c r="K24" s="3"/>
      <x:c r="L24" s="3"/>
      <x:c r="M24" s="3"/>
      <x:c r="N24" s="3"/>
      <x:c r="O24" s="3"/>
      <x:c r="P24" s="3"/>
    </x:row>
    <x:row r="25">
      <x:c r="A25" s="3"/>
      <x:c r="B25" s="3"/>
      <x:c r="C25" s="3"/>
      <x:c r="D25" s="3"/>
      <x:c r="E25" s="3"/>
      <x:c r="F25" s="3"/>
      <x:c r="G25" s="3"/>
      <x:c r="H25" s="3"/>
      <x:c r="I25" s="3"/>
      <x:c r="J25" s="3"/>
      <x:c r="K25" s="3"/>
      <x:c r="L25" s="3"/>
      <x:c r="M25" s="3"/>
      <x:c r="N25" s="3"/>
      <x:c r="O25" s="3"/>
      <x:c r="P25" s="3"/>
    </x:row>
    <x:row r="26">
      <x:c r="A26" s="6" t="str">
        <x:v>単体テストケース</x:v>
      </x:c>
      <x:c r="B26" s="6" t="str">
        <x:v>単体テストケース</x:v>
      </x:c>
      <x:c r="C26" s="6" t="str">
        <x:v>単体テストケース</x:v>
      </x:c>
      <x:c r="D26" s="6" t="str">
        <x:v>単体テストケース</x:v>
      </x:c>
      <x:c r="E26" s="6" t="str">
        <x:v>単体テストケース</x:v>
      </x:c>
      <x:c r="F26" s="6" t="str">
        <x:v>単体テストケース</x:v>
      </x:c>
      <x:c r="G26" s="6" t="str">
        <x:v>単体テストケース</x:v>
      </x:c>
      <x:c r="H26" s="6" t="str">
        <x:v>単体テストケース</x:v>
      </x:c>
      <x:c r="I26" s="6" t="str">
        <x:v>単体テストケース</x:v>
      </x:c>
      <x:c r="J26" s="6" t="str">
        <x:v>単体テストケース</x:v>
      </x:c>
      <x:c r="K26" s="6" t="str">
        <x:v>単体テストケース</x:v>
      </x:c>
      <x:c r="L26" s="6" t="str">
        <x:v>単体テストケース</x:v>
      </x:c>
      <x:c r="M26" s="6" t="str">
        <x:v>単体テストケース</x:v>
      </x:c>
      <x:c r="N26" s="6" t="str">
        <x:v>単体テストケース</x:v>
      </x:c>
      <x:c r="O26" s="6" t="str">
        <x:v>単体テストケース</x:v>
      </x:c>
      <x:c r="P26" s="6" t="str">
        <x:v>単体テストケース</x:v>
      </x:c>
    </x:row>
    <x:row r="27" ht="28" customHeight="1">
      <x:c r="A27" s="9" t="str">
        <x:v>項番</x:v>
      </x:c>
      <x:c r="B27" s="9" t="str">
        <x:v>分類</x:v>
      </x:c>
      <x:c r="C27" s="9" t="str">
        <x:v>テスト項目</x:v>
      </x:c>
      <x:c r="D27" s="9" t="str">
        <x:v>前提条件</x:v>
      </x:c>
      <x:c r="E27" s="9" t="str">
        <x:v>操作内容(入力値)</x:v>
      </x:c>
      <x:c r="F27" s="9" t="str">
        <x:v>期待結果</x:v>
      </x:c>
      <x:c r="G27" s="9" t="str">
        <x:v>期待メッセージ</x:v>
      </x:c>
      <x:c r="H27" s="9" t="str">
        <x:v>テスト結果</x:v>
      </x:c>
      <x:c r="I27" s="9" t="str">
        <x:v>実施者</x:v>
      </x:c>
      <x:c r="J27" s="9" t="str">
        <x:v>実施日</x:v>
      </x:c>
      <x:c r="K27" s="9" t="str">
        <x:v>不具合内容</x:v>
      </x:c>
      <x:c r="L27" s="9" t="str">
        <x:v>再テスト結果</x:v>
      </x:c>
      <x:c r="M27" s="9" t="str">
        <x:v>再テスト実施者</x:v>
      </x:c>
      <x:c r="N27" s="9" t="str">
        <x:v>再テスト実施日</x:v>
      </x:c>
      <x:c r="O27" s="9" t="str">
        <x:v>最終判定</x:v>
      </x:c>
      <x:c r="P27" s="9" t="str">
        <x:v>備考／根拠</x:v>
      </x:c>
    </x:row>
    <x:row r="28">
      <x:c r="A28" s="3"/>
      <x:c r="B28" s="3"/>
      <x:c r="C28" s="3"/>
      <x:c r="D28" s="3"/>
      <x:c r="E28" s="3"/>
      <x:c r="F28" s="3"/>
      <x:c r="G28" s="3"/>
      <x:c r="H28" s="3"/>
      <x:c r="I28" s="3"/>
      <x:c r="J28" s="3"/>
      <x:c r="K28" s="3"/>
      <x:c r="L28" s="3"/>
      <x:c r="M28" s="3"/>
      <x:c r="N28" s="3"/>
      <x:c r="O28" s="3"/>
      <x:c r="P28" s="3"/>
    </x:row>
    <x:row r="29" ht="50" customHeight="1">
      <x:c r="A29" s="10" t="str">
        <x:v>3005P-1</x:v>
      </x:c>
      <x:c r="B29" s="10" t="str">
        <x:v>出力起点</x:v>
      </x:c>
      <x:c r="C29" s="10" t="str">
        <x:v>年払ZIP内の支払い明細のファイル形式</x:v>
      </x:c>
      <x:c r="D29" s="10" t="str">
        <x:v>3001P-1で取得済みの年払ZIPを使用する。再度の出力操作は不要。</x:v>
      </x:c>
      <x:c r="E29" s="10" t="str">
        <x:v>1. 3001P-1で取得したZIPを展開する。
2. {YYYYMM}_年払_支払い明細.xlsの存在を確認し、手動でExcelで開く。</x:v>
      </x:c>
      <x:c r="F29" s="10" t="str">
        <x:v>支払い明細.xlsが存在し、xlsブックとして開け、破損・形式不一致警告がない。ZIPの名前・取得成功と発注確認書側の確認は3001P-1の結果を参照する。</x:v>
      </x:c>
      <x:c r="G29" s="10" t="str">
        <x:v>－</x:v>
      </x:c>
      <x:c r="H29" s="10"/>
      <x:c r="I29" s="10"/>
      <x:c r="J29" s="13"/>
      <x:c r="K29" s="10"/>
      <x:c r="L29" s="10"/>
      <x:c r="M29" s="10"/>
      <x:c r="N29" s="13"/>
      <x:c r="O29" s="10" t="str">
        <x:f>IF(L29&lt;&gt;"",L29,IF(H29="","未実施",H29))</x:f>
        <x:v>未実施</x:v>
      </x:c>
      <x:c r="P29" s="10" t="str">
        <x:v>同じ取得を二重に実施しない。別ファイルの破損／形式を検出する確認だけを残す。</x:v>
      </x:c>
    </x:row>
    <x:row r="30" ht="148" customHeight="1">
      <x:c r="A30" s="10" t="str">
        <x:v>3005P-4</x:v>
      </x:c>
      <x:c r="B30" s="10" t="str">
        <x:v>シート構成</x:v>
      </x:c>
      <x:c r="C30" s="10" t="str">
        <x:v>支払い明細：取引先ごとにシートが作られ、シート名は取引先コードになる</x:v>
      </x:c>
      <x:c r="D30" s="10" t="str">
        <x:v>【前提条件】
・共通の前提のとおり。
・対象月に、取引先が異なる契約が2社以上ある。
・各取引先の取引先コードと、取引先IDの昇順を控えている【要確認：取引先IDと取引先コードの大小の確認方法】。</x:v>
      </x:c>
      <x:c r="E30" s="10" t="str">
        <x:v>1. メニュー(MCM0001U)で「支払い明細出力指示」ボタンを押下し、MCM3002Uを表示する。
2. 「支払い月」に対象月を入力し、「年払い」または「月払い」を選択する。
3. 「出力」ボタンを押下する。
4. 取得したファイルを手動で開いた支払い明細のExcelで、シートの数とシート名、並びを確認する。
5. 共通手順W01に従い対象ファイルを取得し、Excelで開いて本ケースの期待結果を確認する。異常系はファイルが取得されないことを確認する。</x:v>
      </x:c>
      <x:c r="F30" s="10" t="str">
        <x:v>1. シートの数が、対象月に契約がある取引先の数と同じである。
2. 各シートの名前が、その取引先の取引先コードである。
3. 取引先と関係のないシート（「Sheet1」や、テンプレートの元の名前のシートなど）が残っていない。
4. 同じ取引先のシートが2枚できていない。
5. シートが、取引先IDの昇順に並んでいる。</x:v>
      </x:c>
      <x:c r="G30" s="10" t="str">
        <x:v>－</x:v>
      </x:c>
      <x:c r="H30" s="10"/>
      <x:c r="I30" s="10"/>
      <x:c r="J30" s="13"/>
      <x:c r="K30" s="10"/>
      <x:c r="L30" s="10"/>
      <x:c r="M30" s="10"/>
      <x:c r="N30" s="13"/>
      <x:c r="O30" s="10" t="str">
        <x:f>IF(L30&lt;&gt;"",L30,IF(H30="","未実施",H30))</x:f>
        <x:v>未実施</x:v>
      </x:c>
      <x:c r="P30" s="10" t="str">
        <x:v>Web根拠：Mcm3002uExcelService.java／Mcm3002uController.java。VB比較対象：Mcm3005pExcel.vb・Constant.vbと起動元画面。対応する機能条件は末尾の根拠一覧参照。</x:v>
      </x:c>
    </x:row>
    <x:row r="31" ht="148" customHeight="1">
      <x:c r="A31" s="10" t="str">
        <x:v>3005P-5</x:v>
      </x:c>
      <x:c r="B31" s="10" t="str">
        <x:v>ヘッダー</x:v>
      </x:c>
      <x:c r="C31" s="10" t="str">
        <x:v>支払い明細：A1のタイトルに「支払い月」と「取引先名」が出力される</x:v>
      </x:c>
      <x:c r="D31" s="10" t="str">
        <x:v>【前提条件】
・共通の前提のとおり。
・対象月に契約がある取引先が1社ある。その取引先の取引先名を控えている。</x:v>
      </x:c>
      <x:c r="E31" s="10" t="str">
        <x:v>1. メニュー(MCM0001U)で「支払い明細出力指示」ボタンを押下し、MCM3002Uを表示する。
2. 「支払い月」に「2026/10」を入力し、「年払い」または「月払い」を選択する。
3. 「出力」ボタンを押下する。
4. 取得したファイルを手動で開いた支払い明細のExcelで、その取引先のシートのA1を確認する。
5. 共通手順W01に従い対象ファイルを取得し、Excelで開いて本ケースの期待結果を確認する。異常系はファイルが取得されないことを確認する。</x:v>
      </x:c>
      <x:c r="F31" s="10" t="str">
        <x:v>1. A1に「2026年10月分 支払い明細 (取引先名)」の形式で表示される（「2026年10」、「月分 支払い明細 (」、控えた取引先名、「)」の順。かっこの前に半角空白が1つ）。</x:v>
      </x:c>
      <x:c r="G31" s="10" t="str">
        <x:v>－</x:v>
      </x:c>
      <x:c r="H31" s="10"/>
      <x:c r="I31" s="10"/>
      <x:c r="J31" s="13"/>
      <x:c r="K31" s="10"/>
      <x:c r="L31" s="10"/>
      <x:c r="M31" s="10"/>
      <x:c r="N31" s="13"/>
      <x:c r="O31" s="10" t="str">
        <x:f>IF(L31&lt;&gt;"",L31,IF(H31="","未実施",H31))</x:f>
        <x:v>未実施</x:v>
      </x:c>
      <x:c r="P31" s="10" t="str">
        <x:v>Web根拠：Mcm3002uExcelService.java／Mcm3002uController.java。VB比較対象：Mcm3005pExcel.vb・Constant.vbと起動元画面。対応する機能条件は末尾の根拠一覧参照。</x:v>
      </x:c>
    </x:row>
    <x:row r="32" ht="148" customHeight="1">
      <x:c r="A32" s="10" t="str">
        <x:v>3005P-6</x:v>
      </x:c>
      <x:c r="B32" s="10" t="str">
        <x:v>帳票レイアウト</x:v>
      </x:c>
      <x:c r="C32" s="10" t="str">
        <x:v>支払い明細：テンプレートの固定文言（見出し行）が出力される</x:v>
      </x:c>
      <x:c r="D32" s="10" t="str">
        <x:v>【前提条件】
・共通の前提のとおり。</x:v>
      </x:c>
      <x:c r="E32" s="10" t="str">
        <x:v>1. メニュー(MCM0001U)で「支払い明細出力指示」ボタンを押下し、MCM3002Uを表示する。
2. 「支払い月」に対象月を入力し、「年払い」または「月払い」を選択する。
3. 「出力」ボタンを押下する。
4. 取得したファイルを手動で開いた支払い明細のExcelの1〜9行目を確認する。
5. 共通手順W01に従い対象ファイルを取得し、Excelで開いて本ケースの期待結果を確認する。異常系はファイルが取得されないことを確認する。</x:v>
      </x:c>
      <x:c r="F32" s="10" t="str">
        <x:v>原紙の固定文言を維持し、9行目にCSNO・納入先名・送付先事業所名・機器契約番号・取引先名・支払予定・支払実績・支払回数・製番の9見出し。データは10行目から始まる。</x:v>
      </x:c>
      <x:c r="G32" s="10" t="str">
        <x:v>－</x:v>
      </x:c>
      <x:c r="H32" s="10"/>
      <x:c r="I32" s="10"/>
      <x:c r="J32" s="13"/>
      <x:c r="K32" s="10"/>
      <x:c r="L32" s="10"/>
      <x:c r="M32" s="10"/>
      <x:c r="N32" s="13"/>
      <x:c r="O32" s="10" t="str">
        <x:f>IF(L32&lt;&gt;"",L32,IF(H32="","未実施",H32))</x:f>
        <x:v>未実施</x:v>
      </x:c>
      <x:c r="P32" s="10" t="str">
        <x:v>Web根拠：Mcm3002uExcelService.java／Mcm3002uController.java。VB比較対象：Mcm3005pExcel.vb・Constant.vbと起動元画面。対応する機能条件は末尾の根拠一覧参照。原案に推定・実機記録項目あり。判断基準は下記訂正またはQ一覧で管理。</x:v>
      </x:c>
    </x:row>
    <x:row r="33" ht="162" customHeight="1">
      <x:c r="A33" s="10" t="str">
        <x:v>3005P-7</x:v>
      </x:c>
      <x:c r="B33" s="10" t="str">
        <x:v>一覧</x:v>
      </x:c>
      <x:c r="C33" s="10" t="str">
        <x:v>支払い明細：CSNO、納入先名、送付先事業所名、機器契約番号、取引先名が出力される</x:v>
      </x:c>
      <x:c r="D33" s="10" t="str">
        <x:v>【前提条件】
・共通の前提のとおり。
・対象月に契約が3件以上ある取引先がある。
・その取引先の各契約の「サポートID」「納入先名」「店舗名」「契約番号」「取引先名」を、MCM1003U(取引先見積・契約一覧)など画面で確認して控えている【要確認：これらを確認できる画面】。</x:v>
      </x:c>
      <x:c r="E33" s="10" t="str">
        <x:v>1. メニュー(MCM0001U)で「支払い明細出力指示」ボタンを押下し、MCM3002Uを表示する。
2. 「支払い月」に対象月を入力し、「年払い」または「月払い」を選択する。
3. 「出力」ボタンを押下する。
4. 取得したファイルを手動で開いた支払い明細のExcelで、その取引先のシートの10行目から下を確認し、控えた契約ごとの行を見つける。
5. 共通手順W01に従い対象ファイルを取得し、Excelで開いて本ケースの期待結果を確認する。異常系はファイルが取得されないことを確認する。</x:v>
      </x:c>
      <x:c r="F33" s="10" t="str">
        <x:v>1. A列（CSNO）が、控えたサポートIDと同じ値である（発注確認書のように「Pxx-xxxxx」には変換されない）。
2. B列（納入先名）が、控えた納入先名と同じである。
3. C列（送付先事業所名）が、控えた店舗名と同じである。
4. D列（機器契約番号）が、控えた契約番号と同じである。
5. E列（取引先名）が、控えた取引先名と同じである。</x:v>
      </x:c>
      <x:c r="G33" s="10" t="str">
        <x:v>－</x:v>
      </x:c>
      <x:c r="H33" s="10"/>
      <x:c r="I33" s="10"/>
      <x:c r="J33" s="13"/>
      <x:c r="K33" s="10"/>
      <x:c r="L33" s="10"/>
      <x:c r="M33" s="10"/>
      <x:c r="N33" s="13"/>
      <x:c r="O33" s="10" t="str">
        <x:f>IF(L33&lt;&gt;"",L33,IF(H33="","未実施",H33))</x:f>
        <x:v>未実施</x:v>
      </x:c>
      <x:c r="P33" s="10" t="str">
        <x:v>Web根拠：Mcm3002uExcelService.java／Mcm3002uController.java。VB比較対象：Mcm3005pExcel.vb・Constant.vbと起動元画面。対応する機能条件は末尾の根拠一覧参照。</x:v>
      </x:c>
    </x:row>
    <x:row r="34" ht="148" customHeight="1">
      <x:c r="A34" s="10" t="str">
        <x:v>3005P-8</x:v>
      </x:c>
      <x:c r="B34" s="10" t="str">
        <x:v>一覧</x:v>
      </x:c>
      <x:c r="C34" s="10" t="str">
        <x:v>支払い明細：店舗名がない契約の「送付先事業所名」は空欄になる</x:v>
      </x:c>
      <x:c r="D34" s="10" t="str">
        <x:v>【前提条件】
・共通の前提のとおり。
・対象月の支払い対象の契約に、依頼時の店舗も店舗マスタの店舗もない契約がある。【要確認：そのデータが存在するか】
・その契約の契約番号を控えている。</x:v>
      </x:c>
      <x:c r="E34" s="10" t="str">
        <x:v>1. メニュー(MCM0001U)で「支払い明細出力指示」ボタンを押下し、MCM3002Uを表示する。
2. 「支払い月」に対象月を入力し、「年払い」または「月払い」を選択する。
3. 「出力」ボタンを押下する。
4. 取得したファイルを手動で開いた支払い明細のExcelで、控えた契約番号の行の「送付先事業所名」の列（C列）を確認する。
5. 共通手順W01に従い対象ファイルを取得し、Excelで開いて本ケースの期待結果を確認する。異常系はファイルが取得されないことを確認する。</x:v>
      </x:c>
      <x:c r="F34" s="10" t="str">
        <x:v>1. C列が空欄である（「null」などの文字が入っていない）。
2. 同じ行の他の列には値が表示される。</x:v>
      </x:c>
      <x:c r="G34" s="10" t="str">
        <x:v>－</x:v>
      </x:c>
      <x:c r="H34" s="10"/>
      <x:c r="I34" s="10"/>
      <x:c r="J34" s="13"/>
      <x:c r="K34" s="10"/>
      <x:c r="L34" s="10"/>
      <x:c r="M34" s="10"/>
      <x:c r="N34" s="13"/>
      <x:c r="O34" s="10" t="str">
        <x:f>IF(L34&lt;&gt;"",L34,IF(H34="","未実施",H34))</x:f>
        <x:v>未実施</x:v>
      </x:c>
      <x:c r="P34" s="10" t="str">
        <x:v>Web根拠：Mcm3002uExcelService.java／Mcm3002uController.java。VB比較対象：Mcm3005pExcel.vb・Constant.vbと起動元画面。対応する機能条件は末尾の根拠一覧参照。</x:v>
      </x:c>
    </x:row>
    <x:row r="35" ht="176" customHeight="1">
      <x:c r="A35" s="10" t="str">
        <x:v>3005P-9</x:v>
      </x:c>
      <x:c r="B35" s="10" t="str">
        <x:v>一覧</x:v>
      </x:c>
      <x:c r="C35" s="10" t="str">
        <x:v>支払い明細：「支払予定」が、同じ契約の発注確認書の「契約金額」と同じ値になる</x:v>
      </x:c>
      <x:c r="D35" s="10" t="str">
        <x:v>【前提条件】
・共通の前提のとおり。
・対象月に契約が3件以上ある取引先がある。</x:v>
      </x:c>
      <x:c r="E35" s="10" t="str">
        <x:v>1. メニュー(MCM0001U)で「支払い明細出力指示」ボタンを押下し、MCM3002Uを表示する。
2. 「支払い月」に対象月を入力し、「年払い」または「月払い」を選択する。
3. 「出力」ボタンを押下する。
4. 保存した発注確認書のExcelと、支払い明細のExcelを開く。
5. その取引先のシートで、契約番号ごとに、発注確認書の「契約金額」の列（I列）と、支払い明細の「支払予定」の列（F列）を比べる。
6. 共通手順W01に従い対象ファイルを取得し、Excelで開いて本ケースの期待結果を確認する。異常系はファイルが取得されないことを確認する。</x:v>
      </x:c>
      <x:c r="F35" s="10" t="str">
        <x:v>支払予定は対応する発注確認書のDecimal額をCInt相当の銀行丸め（整数へのHALF_EVEN）にした値。元額が整数なら一致する。0.5→0、1.5→2、2.5→2で、小数額を常に完全一致と判定しない。</x:v>
      </x:c>
      <x:c r="G35" s="10" t="str">
        <x:v>－</x:v>
      </x:c>
      <x:c r="H35" s="10"/>
      <x:c r="I35" s="10"/>
      <x:c r="J35" s="13"/>
      <x:c r="K35" s="10"/>
      <x:c r="L35" s="10"/>
      <x:c r="M35" s="10"/>
      <x:c r="N35" s="13"/>
      <x:c r="O35" s="10" t="str">
        <x:f>IF(L35&lt;&gt;"",L35,IF(H35="","未実施",H35))</x:f>
        <x:v>未実施</x:v>
      </x:c>
      <x:c r="P35" s="10" t="str">
        <x:v>Web根拠：Mcm3002uExcelService.java／Mcm3002uController.java。VB比較対象：Mcm3005pExcel.vb・Constant.vbと起動元画面。対応する機能条件は末尾の根拠一覧参照。</x:v>
      </x:c>
    </x:row>
    <x:row r="36" ht="148" customHeight="1">
      <x:c r="A36" s="10" t="str">
        <x:v>3005P-10</x:v>
      </x:c>
      <x:c r="B36" s="10" t="str">
        <x:v>一覧</x:v>
      </x:c>
      <x:c r="C36" s="10" t="str">
        <x:v>支払い明細：「支払実績」は全行で「0」が出力される</x:v>
      </x:c>
      <x:c r="D36" s="10" t="str">
        <x:v>【前提条件】
・共通の前提のとおり。
・対象月に契約が3件以上ある取引先がある。</x:v>
      </x:c>
      <x:c r="E36" s="10" t="str">
        <x:v>1. メニュー(MCM0001U)で「支払い明細出力指示」ボタンを押下し、MCM3002Uを表示する。
2. 「支払い月」に対象月を入力し、「年払い」または「月払い」を選択する。
3. 「出力」ボタンを押下する。
4. 取得したファイルを手動で開いた支払い明細のExcelで、その取引先のシートの「支払実績」の列（G列）を全行確認する。
5. 共通手順W01に従い対象ファイルを取得し、Excelで開いて本ケースの期待結果を確認する。異常系はファイルが取得されないことを確認する。</x:v>
      </x:c>
      <x:c r="F36" s="10" t="str">
        <x:v>1. 全行のG列が「0」である。</x:v>
      </x:c>
      <x:c r="G36" s="10" t="str">
        <x:v>－</x:v>
      </x:c>
      <x:c r="H36" s="10"/>
      <x:c r="I36" s="10"/>
      <x:c r="J36" s="13"/>
      <x:c r="K36" s="10"/>
      <x:c r="L36" s="10"/>
      <x:c r="M36" s="10"/>
      <x:c r="N36" s="13"/>
      <x:c r="O36" s="10" t="str">
        <x:f>IF(L36&lt;&gt;"",L36,IF(H36="","未実施",H36))</x:f>
        <x:v>未実施</x:v>
      </x:c>
      <x:c r="P36" s="10" t="str">
        <x:v>Web根拠：Mcm3002uExcelService.java／Mcm3002uController.java。VB比較対象：Mcm3005pExcel.vb・Constant.vbと起動元画面。対応する機能条件は末尾の根拠一覧参照。</x:v>
      </x:c>
    </x:row>
    <x:row r="37" ht="190" customHeight="1">
      <x:c r="A37" s="10" t="str">
        <x:v>3005P-11</x:v>
      </x:c>
      <x:c r="B37" s="10" t="str">
        <x:v>一覧</x:v>
      </x:c>
      <x:c r="C37" s="10" t="str">
        <x:v>支払い明細：「支払回数」が、年払いは1、月払いは2以上で出力される</x:v>
      </x:c>
      <x:c r="D37" s="10" t="str">
        <x:v>【前提条件】
・共通の前提のとおり。
・対象月に「年払い」の契約と「月払い」の契約が、それぞれ1件以上ある。</x:v>
      </x:c>
      <x:c r="E37" s="10" t="str">
        <x:v>1. メニュー(MCM0001U)で「支払い明細出力指示」ボタンを押下し、MCM3002Uを表示する。
2. 「支払い月」に対象月を入力し、「年払い」を選択する。
3. 「出力」ボタンを押下する。
4. 取得したファイルを手動で開いた支払い明細のExcelの「支払回数」の列（H列）を全行確認し、Excelを閉じる。
5. 手順1〜5を、「月払い」を選択して繰り返す（同名の上書き確認が出た場合は「はい」を押下する）。
6. 月払いの支払い明細のExcelの「支払回数」の列（H列）を全行確認する。
7. 共通手順W01に従い対象ファイルを取得し、Excelで開いて本ケースの期待結果を確認する。異常系はファイルが取得されないことを確認する。</x:v>
      </x:c>
      <x:c r="F37" s="10" t="str">
        <x:v>1. 全行のH列が「1」である。
2. 全行のH列が「2」以上の数値である。</x:v>
      </x:c>
      <x:c r="G37" s="10" t="str">
        <x:v>－</x:v>
      </x:c>
      <x:c r="H37" s="10"/>
      <x:c r="I37" s="10"/>
      <x:c r="J37" s="13"/>
      <x:c r="K37" s="10"/>
      <x:c r="L37" s="10"/>
      <x:c r="M37" s="10"/>
      <x:c r="N37" s="13"/>
      <x:c r="O37" s="10" t="str">
        <x:f>IF(L37&lt;&gt;"",L37,IF(H37="","未実施",H37))</x:f>
        <x:v>未実施</x:v>
      </x:c>
      <x:c r="P37" s="10" t="str">
        <x:v>Web根拠：Mcm3002uExcelService.java／Mcm3002uController.java。VB比較対象：Mcm3005pExcel.vb・Constant.vbと起動元画面。対応する機能条件は末尾の根拠一覧参照。</x:v>
      </x:c>
    </x:row>
    <x:row r="38" ht="176" customHeight="1">
      <x:c r="A38" s="10" t="str">
        <x:v>3005P-12</x:v>
      </x:c>
      <x:c r="B38" s="10" t="str">
        <x:v>一覧</x:v>
      </x:c>
      <x:c r="C38" s="10" t="str">
        <x:v>支払い明細：製番が、同じ契約の発注確認書の製番と同じ値になる（解約後の月は「\* 」付き）</x:v>
      </x:c>
      <x:c r="D38" s="10" t="str">
        <x:v>【前提条件】
・共通の前提のとおり。
・対象月に契約が3件以上ある取引先がある。
・解約後の月も支払い対象になっている契約がある。【要確認：そのデータが存在するか】</x:v>
      </x:c>
      <x:c r="E38" s="10" t="str">
        <x:v>1. メニュー(MCM0001U)で「支払い明細出力指示」ボタンを押下し、MCM3002Uを表示する。
2. 「支払い月」に対象月を入力し、「年払い」または「月払い」を選択する。
3. 「出力」ボタンを押下する。
4. 保存した発注確認書のExcelと、支払い明細のExcelを開く。
5. その取引先のシートで、契約番号ごとに、発注確認書の「製番」の列（J列）と、支払い明細の「製番」の列（I列）を比べる。
6. 共通手順W01に従い対象ファイルを取得し、Excelで開いて本ケースの期待結果を確認する。異常系はファイルが取得されないことを確認する。</x:v>
      </x:c>
      <x:c r="F38" s="10" t="str">
        <x:v>1. 契約番号ごとに、支払い明細の「製番」が、発注確認書の「製番」と同じ値である。
2. 解約後の月も支払い対象になっている契約の行は、どちらも先頭に「\* 」（アスタリスクと半角空白）が付いている。</x:v>
      </x:c>
      <x:c r="G38" s="10" t="str">
        <x:v>－</x:v>
      </x:c>
      <x:c r="H38" s="10"/>
      <x:c r="I38" s="10"/>
      <x:c r="J38" s="13"/>
      <x:c r="K38" s="10"/>
      <x:c r="L38" s="10"/>
      <x:c r="M38" s="10"/>
      <x:c r="N38" s="13"/>
      <x:c r="O38" s="10" t="str">
        <x:f>IF(L38&lt;&gt;"",L38,IF(H38="","未実施",H38))</x:f>
        <x:v>未実施</x:v>
      </x:c>
      <x:c r="P38" s="10" t="str">
        <x:v>Web根拠：Mcm3002uExcelService.java／Mcm3002uController.java。VB比較対象：Mcm3005pExcel.vb・Constant.vbと起動元画面。対応する機能条件は末尾の根拠一覧参照。</x:v>
      </x:c>
    </x:row>
    <x:row r="39" ht="176" customHeight="1">
      <x:c r="A39" s="10" t="str">
        <x:v>3005P-13</x:v>
      </x:c>
      <x:c r="B39" s="10" t="str">
        <x:v>一覧</x:v>
      </x:c>
      <x:c r="C39" s="10" t="str">
        <x:v>支払い明細：契約の並び順</x:v>
      </x:c>
      <x:c r="D39" s="10" t="str">
        <x:v>【前提条件】
・共通の前提のとおり。
・対象月に、同じ取引先の契約が10件以上ある。</x:v>
      </x:c>
      <x:c r="E39" s="10" t="str">
        <x:v>1. メニュー(MCM0001U)で「支払い明細出力指示」ボタンを押下し、MCM3002Uを表示する。
2. 「支払い月」に対象月を入力し、「年払い」または「月払い」を選択する。
3. 「出力」ボタンを押下する。
4. 保存した発注確認書のExcelと、支払い明細のExcelを開く。
5. その取引先のシートの「機器契約番号」の列（支払い明細はD列、発注確認書は「契約番号」のC列）を、10行目（発注確認書は16行目）から上から順に確認する。
6. 共通手順W01に従い対象ファイルを取得し、Excelで開いて本ケースの期待結果を確認する。異常系はファイルが取得されないことを確認する。</x:v>
      </x:c>
      <x:c r="F39" s="10" t="str">
        <x:v>1. 支払い明細の「機器契約番号」が、昇順に並んでいる（同じ契約番号の行は、納入先、サポートIDの昇順）。
2. 支払い明細の並びが、発注確認書の「契約番号」の並びと同じである。
3. 支払い明細の行数が、発注確認書の行数と同じである。</x:v>
      </x:c>
      <x:c r="G39" s="10" t="str">
        <x:v>－</x:v>
      </x:c>
      <x:c r="H39" s="10"/>
      <x:c r="I39" s="10"/>
      <x:c r="J39" s="13"/>
      <x:c r="K39" s="10"/>
      <x:c r="L39" s="10"/>
      <x:c r="M39" s="10"/>
      <x:c r="N39" s="13"/>
      <x:c r="O39" s="10" t="str">
        <x:f>IF(L39&lt;&gt;"",L39,IF(H39="","未実施",H39))</x:f>
        <x:v>未実施</x:v>
      </x:c>
      <x:c r="P39" s="10" t="str">
        <x:v>Web根拠：Mcm3002uExcelService.java／Mcm3002uController.java。VB比較対象：Mcm3005pExcel.vb・Constant.vbと起動元画面。対応する機能条件は末尾の根拠一覧参照。</x:v>
      </x:c>
    </x:row>
    <x:row r="40" ht="148" customHeight="1">
      <x:c r="A40" s="10" t="str">
        <x:v>3005P-14</x:v>
      </x:c>
      <x:c r="B40" s="10" t="str">
        <x:v>一覧</x:v>
      </x:c>
      <x:c r="C40" s="10" t="str">
        <x:v>支払い明細：支払予定が0の契約、製番が空の契約も出力される</x:v>
      </x:c>
      <x:c r="D40" s="10" t="str">
        <x:v>【前提条件】
・共通の前提のとおり。
・対象月の支払い対象の契約のうち、支払予定が0になる契約、または製番が空の契約がある。【要確認：そのデータが存在するか】
・その契約の契約番号を控えている。</x:v>
      </x:c>
      <x:c r="E40" s="10" t="str">
        <x:v>1. メニュー(MCM0001U)で「支払い明細出力指示」ボタンを押下し、MCM3002Uを表示する。
2. 「支払い月」に対象月を入力し、「年払い」または「月払い」を選択する。
3. 「出力」ボタンを押下する。
4. 取得したファイルを手動で開いた支払い明細のExcelで、控えた契約番号の行を確認する。
5. 共通手順W01に従い対象ファイルを取得し、Excelで開いて本ケースの期待結果を確認する。異常系はファイルが取得されないことを確認する。</x:v>
      </x:c>
      <x:c r="F40" s="10" t="str">
        <x:v>1. 控えた契約番号の行が一覧にある（除外されていない）。
2. 「支払予定」が0、または「製番」が空欄で表示される。</x:v>
      </x:c>
      <x:c r="G40" s="10" t="str">
        <x:v>－</x:v>
      </x:c>
      <x:c r="H40" s="10"/>
      <x:c r="I40" s="10"/>
      <x:c r="J40" s="13"/>
      <x:c r="K40" s="10"/>
      <x:c r="L40" s="10"/>
      <x:c r="M40" s="10"/>
      <x:c r="N40" s="13"/>
      <x:c r="O40" s="10" t="str">
        <x:f>IF(L40&lt;&gt;"",L40,IF(H40="","未実施",H40))</x:f>
        <x:v>未実施</x:v>
      </x:c>
      <x:c r="P40" s="10" t="str">
        <x:v>Web根拠：Mcm3002uExcelService.java／Mcm3002uController.java。VB比較対象：Mcm3005pExcel.vb・Constant.vbと起動元画面。対応する機能条件は末尾の根拠一覧参照。</x:v>
      </x:c>
    </x:row>
    <x:row r="41" ht="162" customHeight="1">
      <x:c r="A41" s="10" t="str">
        <x:v>3005P-15</x:v>
      </x:c>
      <x:c r="B41" s="10" t="str">
        <x:v>合計行</x:v>
      </x:c>
      <x:c r="C41" s="10" t="str">
        <x:v>支払い明細：「合計」行に支払予定の合計と支払実績の合計が出力される</x:v>
      </x:c>
      <x:c r="D41" s="10" t="str">
        <x:v>【前提条件】
・共通の前提のとおり。
・対象月に契約が3件以上ある取引先がある。</x:v>
      </x:c>
      <x:c r="E41" s="10" t="str">
        <x:v>1. メニュー(MCM0001U)で「支払い明細出力指示」ボタンを押下し、MCM3002Uを表示する。
2. 「支払い月」に対象月を入力し、「年払い」または「月払い」を選択する。
3. 「出力」ボタンを押下する。
4. 取得したファイルを手動で開いた支払い明細のExcelで、その取引先のシートの最終データ行の下を確認する。各行の「支払予定」を電卓などで合計する。
5. 共通手順W01に従い対象ファイルを取得し、Excelで開いて本ケースの期待結果を確認する。異常系はファイルが取得されないことを確認する。</x:v>
      </x:c>
      <x:c r="F41" s="10" t="str">
        <x:v>1. 最終データ行の3行下（間に空の行が2行）の行のE列に「合計」と表示され、右寄せになっている。
2. 同じ行のF列（支払予定）が、各行の「支払予定」の合計と同じである。
3. 同じ行のG列（支払実績）が、「0」である（各行が0のため）。</x:v>
      </x:c>
      <x:c r="G41" s="10" t="str">
        <x:v>－</x:v>
      </x:c>
      <x:c r="H41" s="10"/>
      <x:c r="I41" s="10"/>
      <x:c r="J41" s="13"/>
      <x:c r="K41" s="10"/>
      <x:c r="L41" s="10"/>
      <x:c r="M41" s="10"/>
      <x:c r="N41" s="13"/>
      <x:c r="O41" s="10" t="str">
        <x:f>IF(L41&lt;&gt;"",L41,IF(H41="","未実施",H41))</x:f>
        <x:v>未実施</x:v>
      </x:c>
      <x:c r="P41" s="10" t="str">
        <x:v>Web根拠：Mcm3002uExcelService.java／Mcm3002uController.java。VB比較対象：Mcm3005pExcel.vb・Constant.vbと起動元画面。対応する機能条件は末尾の根拠一覧参照。</x:v>
      </x:c>
    </x:row>
    <x:row r="42" ht="148" customHeight="1">
      <x:c r="A42" s="10" t="str">
        <x:v>3005P-16</x:v>
      </x:c>
      <x:c r="B42" s="10" t="str">
        <x:v>合計行</x:v>
      </x:c>
      <x:c r="C42" s="10" t="str">
        <x:v>支払い明細：「件数」行に件数が出力される</x:v>
      </x:c>
      <x:c r="D42" s="10" t="str">
        <x:v>【前提条件】
・共通の前提のとおり。
・対象月に契約が3件ある取引先がある（件数が分かる取引先を使う）。</x:v>
      </x:c>
      <x:c r="E42" s="10" t="str">
        <x:v>1. メニュー(MCM0001U)で「支払い明細出力指示」ボタンを押下し、MCM3002Uを表示する。
2. 「支払い月」に対象月を入力し、「年払い」または「月払い」を選択する。
3. 「出力」ボタンを押下する。
4. 取得したファイルを手動で開いた支払い明細のExcelで、その取引先のシートの「合計」行の下を確認する。
5. 共通手順W01に従い対象ファイルを取得し、Excelで開いて本ケースの期待結果を確認する。異常系はファイルが取得されないことを確認する。</x:v>
      </x:c>
      <x:c r="F42" s="10" t="str">
        <x:v>1. 「合計」行の2行下の行のE列に「件数」と表示され、右寄せになっている。
2. 同じ行のF列（支払予定）に「3件」と表示される（データ行数＋「件」）。
3. 同じ行のG列（支払実績）に「0件」と表示される（支払実績が0より大きい行の数＋「件」）。</x:v>
      </x:c>
      <x:c r="G42" s="10" t="str">
        <x:v>－</x:v>
      </x:c>
      <x:c r="H42" s="10"/>
      <x:c r="I42" s="10"/>
      <x:c r="J42" s="13"/>
      <x:c r="K42" s="10"/>
      <x:c r="L42" s="10"/>
      <x:c r="M42" s="10"/>
      <x:c r="N42" s="13"/>
      <x:c r="O42" s="10" t="str">
        <x:f>IF(L42&lt;&gt;"",L42,IF(H42="","未実施",H42))</x:f>
        <x:v>未実施</x:v>
      </x:c>
      <x:c r="P42" s="10" t="str">
        <x:v>Web根拠：Mcm3002uExcelService.java／Mcm3002uController.java。VB比較対象：Mcm3005pExcel.vb・Constant.vbと起動元画面。対応する機能条件は末尾の根拠一覧参照。</x:v>
      </x:c>
    </x:row>
    <x:row r="43" ht="148" customHeight="1">
      <x:c r="A43" s="10" t="str">
        <x:v>3005P-17</x:v>
      </x:c>
      <x:c r="B43" s="10" t="str">
        <x:v>書式</x:v>
      </x:c>
      <x:c r="C43" s="10" t="str">
        <x:v>支払い明細：「合計」行、「件数」行のF列〜G列に下線が付く</x:v>
      </x:c>
      <x:c r="D43" s="10" t="str">
        <x:v>【前提条件】
・共通の前提のとおり。
・対象月に契約が3件以上ある取引先がある。</x:v>
      </x:c>
      <x:c r="E43" s="10" t="str">
        <x:v>1. メニュー(MCM0001U)で「支払い明細出力指示」ボタンを押下し、MCM3002Uを表示する。
2. 「支払い月」に対象月を入力し、「年払い」または「月払い」を選択する。
3. 「出力」ボタンを押下する。
4. 取得したファイルを手動で開いた支払い明細のExcelで、「合計」行と「件数」行のF列、G列の下側の線を確認する。
5. 共通手順W01に従い対象ファイルを取得し、Excelで開いて本ケースの期待結果を確認する。異常系はファイルが取得されないことを確認する。</x:v>
      </x:c>
      <x:c r="F43" s="10" t="str">
        <x:v>1. 「合計」行のF列、G列の下側に線が付いている。
2. 「件数」行のF列、G列の下側に線が付いている。</x:v>
      </x:c>
      <x:c r="G43" s="10" t="str">
        <x:v>－</x:v>
      </x:c>
      <x:c r="H43" s="10"/>
      <x:c r="I43" s="10"/>
      <x:c r="J43" s="13"/>
      <x:c r="K43" s="10"/>
      <x:c r="L43" s="10"/>
      <x:c r="M43" s="10"/>
      <x:c r="N43" s="13"/>
      <x:c r="O43" s="10" t="str">
        <x:f>IF(L43&lt;&gt;"",L43,IF(H43="","未実施",H43))</x:f>
        <x:v>未実施</x:v>
      </x:c>
      <x:c r="P43" s="10" t="str">
        <x:v>Web根拠：Mcm3002uExcelService.java／Mcm3002uController.java。VB比較対象：Mcm3005pExcel.vb・Constant.vbと起動元画面。対応する機能条件は末尾の根拠一覧参照。</x:v>
      </x:c>
    </x:row>
    <x:row r="44" ht="148" customHeight="1">
      <x:c r="A44" s="10" t="str">
        <x:v>3005P-18</x:v>
      </x:c>
      <x:c r="B44" s="10" t="str">
        <x:v>書式</x:v>
      </x:c>
      <x:c r="C44" s="10" t="str">
        <x:v>支払い明細：一覧に罫線が付く</x:v>
      </x:c>
      <x:c r="D44" s="10" t="str">
        <x:v>【前提条件】
・共通の前提のとおり。
・対象月に契約が3件以上ある取引先がある。</x:v>
      </x:c>
      <x:c r="E44" s="10" t="str">
        <x:v>1. メニュー(MCM0001U)で「支払い明細出力指示」ボタンを押下し、MCM3002Uを表示する。
2. 「支払い月」に対象月を入力し、「年払い」または「月払い」を選択する。
3. 「出力」ボタンを押下する。
4. 取得したファイルを手動で開いた支払い明細のExcelで、10行目から最終データ行までの枠線を確認する。
5. 共通手順W01に従い対象ファイルを取得し、Excelで開いて本ケースの期待結果を確認する。異常系はファイルが取得されないことを確認する。</x:v>
      </x:c>
      <x:c r="F44" s="10" t="str">
        <x:v>1. 10行目から最終データ行まで、A列〜I列の各列が、列ごとの外枠で囲まれている。
2. 行と行の間に細い横線が付いている。
3. 最終データ行の下の行に、枠線が付いていない。</x:v>
      </x:c>
      <x:c r="G44" s="10" t="str">
        <x:v>－</x:v>
      </x:c>
      <x:c r="H44" s="10"/>
      <x:c r="I44" s="10"/>
      <x:c r="J44" s="13"/>
      <x:c r="K44" s="10"/>
      <x:c r="L44" s="10"/>
      <x:c r="M44" s="10"/>
      <x:c r="N44" s="13"/>
      <x:c r="O44" s="10" t="str">
        <x:f>IF(L44&lt;&gt;"",L44,IF(H44="","未実施",H44))</x:f>
        <x:v>未実施</x:v>
      </x:c>
      <x:c r="P44" s="10" t="str">
        <x:v>Web根拠：Mcm3002uExcelService.java／Mcm3002uController.java。VB比較対象：Mcm3005pExcel.vb・Constant.vbと起動元画面。対応する機能条件は末尾の根拠一覧参照。</x:v>
      </x:c>
    </x:row>
    <x:row r="45" ht="162" customHeight="1">
      <x:c r="A45" s="10" t="str">
        <x:v>3005P-19</x:v>
      </x:c>
      <x:c r="B45" s="10" t="str">
        <x:v>複数取引先</x:v>
      </x:c>
      <x:c r="C45" s="10" t="str">
        <x:v>支払い明細：取引先ごとに別のシートに分かれ、合計・件数も取引先ごとになる</x:v>
      </x:c>
      <x:c r="D45" s="10" t="str">
        <x:v>【前提条件】
・共通の前提のとおり。
・対象月に、契約が2件以上ある取引先A、契約が1件以上ある取引先Bがある（同じ「年払い」または「月払い」）。
・取引先Aと取引先Bの契約番号を控えている。</x:v>
      </x:c>
      <x:c r="E45" s="10" t="str">
        <x:v>1. メニュー(MCM0001U)で「支払い明細出力指示」ボタンを押下し、MCM3002Uを表示する。
2. 「支払い月」に対象月を入力し、「年払い」または「月払い」を選択する。
3. 「出力」ボタンを押下する。
4. 取得したファイルを手動で開いた支払い明細のExcelで、取引先Aのシートと取引先Bのシートの、A1のタイトル、契約番号、「合計」行、「件数」行を確認する。
5. 共通手順W01に従い対象ファイルを取得し、Excelで開いて本ケースの期待結果を確認する。異常系はファイルが取得されないことを確認する。</x:v>
      </x:c>
      <x:c r="F45" s="10" t="str">
        <x:v>1. 取引先Aのシートには、取引先Aの契約だけが並び、取引先Bの契約がない。
2. 取引先Bのシートには、取引先Bの契約だけが並び、取引先Aの契約がない。
3. 各シートのA1のタイトルに、そのシートの取引先名が入っている。
4. 各シートの「合計」の支払予定が、そのシートの各行の合計と同じである。
5. 各シートの「件数」が、そのシートのデータ行数である。</x:v>
      </x:c>
      <x:c r="G45" s="10" t="str">
        <x:v>－</x:v>
      </x:c>
      <x:c r="H45" s="10"/>
      <x:c r="I45" s="10"/>
      <x:c r="J45" s="13"/>
      <x:c r="K45" s="10"/>
      <x:c r="L45" s="10"/>
      <x:c r="M45" s="10"/>
      <x:c r="N45" s="13"/>
      <x:c r="O45" s="10" t="str">
        <x:f>IF(L45&lt;&gt;"",L45,IF(H45="","未実施",H45))</x:f>
        <x:v>未実施</x:v>
      </x:c>
      <x:c r="P45" s="10" t="str">
        <x:v>Web根拠：Mcm3002uExcelService.java／Mcm3002uController.java。VB比較対象：Mcm3005pExcel.vb・Constant.vbと起動元画面。対応する機能条件は末尾の根拠一覧参照。</x:v>
      </x:c>
    </x:row>
    <x:row r="46" ht="162" customHeight="1">
      <x:c r="A46" s="10" t="str">
        <x:v>3005P-20</x:v>
      </x:c>
      <x:c r="B46" s="10" t="str">
        <x:v>書式</x:v>
      </x:c>
      <x:c r="C46" s="10" t="str">
        <x:v>支払い明細：複数ページに渡る場合の印刷タイトル行</x:v>
      </x:c>
      <x:c r="D46" s="10" t="str">
        <x:v>【前提条件】
・共通の前提のとおり。
・対象月に、1ページに収まらない件数（目安：50件以上）の契約を持つ取引先がある。【要確認：該当データの有無】</x:v>
      </x:c>
      <x:c r="E46" s="10" t="str">
        <x:v>1. メニュー(MCM0001U)で「支払い明細出力指示」ボタンを押下し、MCM3002Uを表示する。
2. 「支払い月」に対象月を入力し、「年払い」または「月払い」を選択する。
3. 「出力」ボタンを押下する。
4. 取得したファイルを手動で開いた支払い明細のExcelで、その取引先のシートの印刷プレビューを表示し、2ページ目の先頭を確認する。
5. 共通手順W01に従い対象ファイルを取得し、Excelで開いて本ケースの期待結果を確認する。異常系はファイルが取得されないことを確認する。</x:v>
      </x:c>
      <x:c r="F46" s="10" t="str">
        <x:v>印刷プレビューの2ページ目以降で9行目の見出しを繰り返す。明細の欠落・重複・合計行の切れがない。プリンタ固有の改ページはQ01の条件で確認する。</x:v>
      </x:c>
      <x:c r="G46" s="10" t="str">
        <x:v>－</x:v>
      </x:c>
      <x:c r="H46" s="10"/>
      <x:c r="I46" s="10"/>
      <x:c r="J46" s="13"/>
      <x:c r="K46" s="10"/>
      <x:c r="L46" s="10"/>
      <x:c r="M46" s="10"/>
      <x:c r="N46" s="13"/>
      <x:c r="O46" s="10" t="str">
        <x:f>IF(L46&lt;&gt;"",L46,IF(H46="","未実施",H46))</x:f>
        <x:v>未実施</x:v>
      </x:c>
      <x:c r="P46" s="10" t="str">
        <x:v>Web根拠：Mcm3002uExcelService.java／Mcm3002uController.java。VB比較対象：Mcm3005pExcel.vb・Constant.vbと起動元画面。対応する機能条件は末尾の根拠一覧参照。原案に推定・実機記録項目あり。判断基準は下記訂正またはQ一覧で管理。</x:v>
      </x:c>
    </x:row>
    <x:row r="47" ht="176" customHeight="1">
      <x:c r="A47" s="10" t="str">
        <x:v>3005P-21</x:v>
      </x:c>
      <x:c r="B47" s="10" t="str">
        <x:v>整合</x:v>
      </x:c>
      <x:c r="C47" s="10" t="str">
        <x:v>支払い明細：発注確認書と同じ取引先のシートが同じ数だけでき、同じ取引先の契約が同じ件数で並ぶ</x:v>
      </x:c>
      <x:c r="D47" s="10" t="str">
        <x:v>【前提条件】
・共通の前提のとおり。
・対象月に、取引先が異なる契約が2社以上ある。</x:v>
      </x:c>
      <x:c r="E47" s="10" t="str">
        <x:v>1. メニュー(MCM0001U)で「支払い明細出力指示」ボタンを押下し、MCM3002Uを表示する。
2. 「支払い月」に対象月を入力し、「年払い」または「月払い」を選択する。
3. 「出力」ボタンを押下する。
4. 保存した発注確認書のExcelと、支払い明細のExcelを開く。
5. それぞれで、シート名の一覧と、各シートのデータ行数を控えて比べる。発注確認書は「合計」行の契約金額、支払い明細は「合計」行の支払予定も控えて比べる。
6. 共通手順W01に従い対象ファイルを取得し、Excelで開いて本ケースの期待結果を確認する。異常系はファイルが取得されないことを確認する。</x:v>
      </x:c>
      <x:c r="F47" s="10" t="str">
        <x:v>同じZIPの両帳票で取引先のシート数・契約キー・製番・件数が一致する。金額は3005P-9の丸め後に照合し、支払い明細合計は丸め後の明細を合計する。小数を含む発注確認書合計との差を直ちに不具合としない。</x:v>
      </x:c>
      <x:c r="G47" s="10" t="str">
        <x:v>－</x:v>
      </x:c>
      <x:c r="H47" s="10"/>
      <x:c r="I47" s="10"/>
      <x:c r="J47" s="13"/>
      <x:c r="K47" s="10"/>
      <x:c r="L47" s="10"/>
      <x:c r="M47" s="10"/>
      <x:c r="N47" s="13"/>
      <x:c r="O47" s="10" t="str">
        <x:f>IF(L47&lt;&gt;"",L47,IF(H47="","未実施",H47))</x:f>
        <x:v>未実施</x:v>
      </x:c>
      <x:c r="P47" s="10" t="str">
        <x:v>Web根拠：Mcm3002uExcelService.java／Mcm3002uController.java。VB比較対象：Mcm3005pExcel.vb・Constant.vbと起動元画面。対応する機能条件は末尾の根拠一覧参照。</x:v>
      </x:c>
    </x:row>
    <x:row r="48" ht="45" customHeight="1">
      <x:c r="A48" s="10" t="str">
        <x:v>3005P-23</x:v>
      </x:c>
      <x:c r="B48" s="10" t="str">
        <x:v>追加／境界</x:v>
      </x:c>
      <x:c r="C48" s="10" t="str">
        <x:v>銀行丸めの端数と合計</x:v>
      </x:c>
      <x:c r="D48" s="10" t="str">
        <x:v>発注額0.5、1.5、2.5を同じ取引先に準備。</x:v>
      </x:c>
      <x:c r="E48" s="10" t="str">
        <x:v>同じZIPの両帳票明細・合計を比較。</x:v>
      </x:c>
      <x:c r="F48" s="10" t="str">
        <x:v>支払い明細は0・2・2、合計4。発注確認書は0.5・1.5・2.5、合計4.5。丸め前合計を一度丸めた値で代用しない。</x:v>
      </x:c>
      <x:c r="G48" s="10" t="str">
        <x:v>－</x:v>
      </x:c>
      <x:c r="H48" s="10"/>
      <x:c r="I48" s="10"/>
      <x:c r="J48" s="13"/>
      <x:c r="K48" s="10"/>
      <x:c r="L48" s="10"/>
      <x:c r="M48" s="10"/>
      <x:c r="N48" s="13"/>
      <x:c r="O48" s="10" t="str">
        <x:f>IF(L48&lt;&gt;"",L48,IF(H48="","未実施",H48))</x:f>
        <x:v>未実施</x:v>
      </x:c>
      <x:c r="P48" s="10" t="str">
        <x:v>追加観点。Web根拠一覧参照。</x:v>
      </x:c>
    </x:row>
    <x:row r="49" ht="45" customHeight="1">
      <x:c r="A49" s="10" t="str">
        <x:v>3005P-24</x:v>
      </x:c>
      <x:c r="B49" s="10" t="str">
        <x:v>追加／境界</x:v>
      </x:c>
      <x:c r="C49" s="10" t="str">
        <x:v>合計式・実績件数式の再計算</x:v>
      </x:c>
      <x:c r="D49" s="10" t="str">
        <x:v>複数明細の支払い明細を取得。検証用コピーでのみ値を変更。</x:v>
      </x:c>
      <x:c r="E49" s="10" t="str">
        <x:v>Fの1額を変更、Gの1額を正数にしてExcel再計算。</x:v>
      </x:c>
      <x:c r="F49" s="10" t="str">
        <x:v>支払予定SUM・支払実績SUM・支払実績件数COUNTIFが対象明細範囲で更新する。登録済みDBの値は変更しない。</x:v>
      </x:c>
      <x:c r="G49" s="10" t="str">
        <x:v>－</x:v>
      </x:c>
      <x:c r="H49" s="10"/>
      <x:c r="I49" s="10"/>
      <x:c r="J49" s="13"/>
      <x:c r="K49" s="10"/>
      <x:c r="L49" s="10"/>
      <x:c r="M49" s="10"/>
      <x:c r="N49" s="13"/>
      <x:c r="O49" s="10" t="str">
        <x:f>IF(L49&lt;&gt;"",L49,IF(H49="","未実施",H49))</x:f>
        <x:v>未実施</x:v>
      </x:c>
      <x:c r="P49" s="10" t="str">
        <x:v>追加観点。Web根拠一覧参照。</x:v>
      </x:c>
    </x:row>
  </x:sheetData>
  <x:mergeCells>
    <x:mergeCell ref="A1:P1"/>
    <x:mergeCell ref="A3:C3"/>
    <x:mergeCell ref="D3:P3"/>
    <x:mergeCell ref="A4:C4"/>
    <x:mergeCell ref="D4:P4"/>
    <x:mergeCell ref="A6:P6"/>
    <x:mergeCell ref="A7:C7"/>
    <x:mergeCell ref="D7:P7"/>
    <x:mergeCell ref="A8:C8"/>
    <x:mergeCell ref="D8:P8"/>
    <x:mergeCell ref="A9:C9"/>
    <x:mergeCell ref="D9:P9"/>
    <x:mergeCell ref="A10:C10"/>
    <x:mergeCell ref="D10:P10"/>
    <x:mergeCell ref="A14:P14"/>
    <x:mergeCell ref="A16:C16"/>
    <x:mergeCell ref="D16:P16"/>
    <x:mergeCell ref="A17:C17"/>
    <x:mergeCell ref="D17:P17"/>
    <x:mergeCell ref="A18:C18"/>
    <x:mergeCell ref="D18:P18"/>
    <x:mergeCell ref="A20:C20"/>
    <x:mergeCell ref="D20:P20"/>
    <x:mergeCell ref="A26:P26"/>
  </x:mergeCells>
  <x:dataValidations count="2">
    <x:dataValidation type="list" sqref="H29:H49">
      <x:formula1>"未実施,OK,NG,保留,対象外"</x:formula1>
    </x:dataValidation>
    <x:dataValidation type="list" sqref="L29:L49">
      <x:formula1>"未実施,OK,NG,保留,対象外"</x:formula1>
    </x:dataValidation>
  </x:dataValidation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85" hidden="0" customWidth="1"/>
    <x:col min="4" max="4" width="52" hidden="0" customWidth="1"/>
    <x:col min="5" max="5" width="60" hidden="0" customWidth="1"/>
    <x:col min="6" max="6" width="64" hidden="0" customWidth="1"/>
    <x:col min="7" max="7" width="40" hidden="0" customWidth="1"/>
    <x:col min="8" max="8" width="12" hidden="0" customWidth="1"/>
    <x:col min="9" max="9" width="14" hidden="0" customWidth="1"/>
    <x:col min="10" max="10" width="15" hidden="0" customWidth="1"/>
    <x:col min="11" max="11" width="40" hidden="0" customWidth="1"/>
    <x:col min="12" max="12" width="14" hidden="0" customWidth="1"/>
    <x:col min="13" max="13" width="17" hidden="0" customWidth="1"/>
    <x:col min="14" max="14" width="17" hidden="0" customWidth="1"/>
    <x:col min="15" max="15" width="13" hidden="0" customWidth="1"/>
    <x:col min="16" max="16" width="54" hidden="0" customWidth="1"/>
  </x:cols>
  <x:sheetData>
    <x:row r="1" ht="26" customHeight="1">
      <x:c r="A1" s="4" t="str">
        <x:v>旧項番の統合対応</x:v>
      </x:c>
      <x:c r="B1" s="4"/>
      <x:c r="C1" s="4"/>
      <x:c r="D1" s="4"/>
      <x:c r="E1" s="4"/>
      <x:c r="F1" s="4"/>
      <x:c r="G1" s="4"/>
      <x:c r="H1" s="4"/>
      <x:c r="I1" s="4"/>
      <x:c r="J1" s="4"/>
      <x:c r="K1" s="4"/>
      <x:c r="L1" s="4"/>
      <x:c r="M1" s="4"/>
      <x:c r="N1" s="4"/>
      <x:c r="O1" s="4"/>
      <x:c r="P1" s="4"/>
    </x:row>
    <x:row r="2">
      <x:c r="A2" s="3"/>
      <x:c r="B2" s="3"/>
      <x:c r="C2" s="3"/>
      <x:c r="D2" s="3"/>
      <x:c r="E2" s="3"/>
      <x:c r="F2" s="3"/>
      <x:c r="G2" s="3"/>
      <x:c r="H2" s="3"/>
      <x:c r="I2" s="3"/>
      <x:c r="J2" s="3"/>
      <x:c r="K2" s="3"/>
      <x:c r="L2" s="3"/>
      <x:c r="M2" s="3"/>
      <x:c r="N2" s="3"/>
      <x:c r="O2" s="3"/>
      <x:c r="P2" s="3"/>
    </x:row>
    <x:row r="3">
      <x:c r="A3" s="3"/>
      <x:c r="B3" s="3"/>
      <x:c r="C3" s="3"/>
      <x:c r="D3" s="3"/>
      <x:c r="E3" s="3"/>
      <x:c r="F3" s="3"/>
      <x:c r="G3" s="3"/>
      <x:c r="H3" s="3"/>
      <x:c r="I3" s="3"/>
      <x:c r="J3" s="3"/>
      <x:c r="K3" s="3"/>
      <x:c r="L3" s="3"/>
      <x:c r="M3" s="3"/>
      <x:c r="N3" s="3"/>
      <x:c r="O3" s="3"/>
      <x:c r="P3" s="3"/>
    </x:row>
    <x:row r="4" ht="28" customHeight="1">
      <x:c r="A4" s="9" t="str">
        <x:v>旧項番</x:v>
      </x:c>
      <x:c r="B4" s="9" t="str">
        <x:v>統合先</x:v>
      </x:c>
      <x:c r="C4" s="9" t="str">
        <x:v>引き継いだ確認</x:v>
      </x:c>
      <x:c r="D4" s="3"/>
      <x:c r="E4" s="3"/>
      <x:c r="F4" s="3"/>
      <x:c r="G4" s="3"/>
      <x:c r="H4" s="3"/>
      <x:c r="I4" s="3"/>
      <x:c r="J4" s="3"/>
      <x:c r="K4" s="3"/>
      <x:c r="L4" s="3"/>
      <x:c r="M4" s="3"/>
      <x:c r="N4" s="3"/>
      <x:c r="O4" s="3"/>
      <x:c r="P4" s="3"/>
    </x:row>
    <x:row r="5" ht="45" customHeight="1">
      <x:c r="A5" s="10" t="str">
        <x:v>1001P-3</x:v>
      </x:c>
      <x:c r="B5" s="10" t="str">
        <x:v>1001P-1</x:v>
      </x:c>
      <x:c r="C5" s="10" t="str">
        <x:v>取得ファイルの存在、Excelで開けること、破損・形式警告なし</x:v>
      </x:c>
      <x:c r="D5" s="3"/>
      <x:c r="E5" s="3"/>
      <x:c r="F5" s="3"/>
      <x:c r="G5" s="3"/>
      <x:c r="H5" s="3"/>
      <x:c r="I5" s="3"/>
      <x:c r="J5" s="3"/>
      <x:c r="K5" s="3"/>
      <x:c r="L5" s="3"/>
      <x:c r="M5" s="3"/>
      <x:c r="N5" s="3"/>
      <x:c r="O5" s="3"/>
      <x:c r="P5" s="3"/>
    </x:row>
    <x:row r="6" ht="45" customHeight="1">
      <x:c r="A6" s="10" t="str">
        <x:v>3005P-2</x:v>
      </x:c>
      <x:c r="B6" s="10" t="str">
        <x:v>3001P-2</x:v>
      </x:c>
      <x:c r="C6" s="10" t="str">
        <x:v>支払帳票ZIPの保存取消。両帳票を同じ取消試験で確認</x:v>
      </x:c>
      <x:c r="D6" s="3"/>
      <x:c r="E6" s="3"/>
      <x:c r="F6" s="3"/>
      <x:c r="G6" s="3"/>
      <x:c r="H6" s="3"/>
      <x:c r="I6" s="3"/>
      <x:c r="J6" s="3"/>
      <x:c r="K6" s="3"/>
      <x:c r="L6" s="3"/>
      <x:c r="M6" s="3"/>
      <x:c r="N6" s="3"/>
      <x:c r="O6" s="3"/>
      <x:c r="P6" s="3"/>
    </x:row>
    <x:row r="7" ht="45" customHeight="1">
      <x:c r="A7" s="10" t="str">
        <x:v>3005P-3</x:v>
      </x:c>
      <x:c r="B7" s="10" t="str">
        <x:v>3001P-3</x:v>
      </x:c>
      <x:c r="C7" s="10" t="str">
        <x:v>月払ZIPの名前と両帳票のファイル名</x:v>
      </x:c>
      <x:c r="D7" s="3"/>
      <x:c r="E7" s="3"/>
      <x:c r="F7" s="3"/>
      <x:c r="G7" s="3"/>
      <x:c r="H7" s="3"/>
      <x:c r="I7" s="3"/>
      <x:c r="J7" s="3"/>
      <x:c r="K7" s="3"/>
      <x:c r="L7" s="3"/>
      <x:c r="M7" s="3"/>
      <x:c r="N7" s="3"/>
      <x:c r="O7" s="3"/>
      <x:c r="P7" s="3"/>
    </x:row>
    <x:row r="8" ht="45" customHeight="1">
      <x:c r="A8" s="10" t="str">
        <x:v>3005P-22</x:v>
      </x:c>
      <x:c r="B8" s="10" t="str">
        <x:v>3001P-23</x:v>
      </x:c>
      <x:c r="C8" s="10" t="str">
        <x:v>対象0件で共通ZIP・両帳票を出力しない</x:v>
      </x:c>
      <x:c r="D8" s="3"/>
      <x:c r="E8" s="3"/>
      <x:c r="F8" s="3"/>
      <x:c r="G8" s="3"/>
      <x:c r="H8" s="3"/>
      <x:c r="I8" s="3"/>
      <x:c r="J8" s="3"/>
      <x:c r="K8" s="3"/>
      <x:c r="L8" s="3"/>
      <x:c r="M8" s="3"/>
      <x:c r="N8" s="3"/>
      <x:c r="O8" s="3"/>
      <x:c r="P8" s="3"/>
    </x:row>
    <x:row r="9">
      <x:c r="A9" s="3"/>
      <x:c r="B9" s="3"/>
      <x:c r="C9" s="3"/>
      <x:c r="D9" s="3"/>
      <x:c r="E9" s="3"/>
      <x:c r="F9" s="3"/>
      <x:c r="G9" s="3"/>
      <x:c r="H9" s="3"/>
      <x:c r="I9" s="3"/>
      <x:c r="J9" s="3"/>
      <x:c r="K9" s="3"/>
      <x:c r="L9" s="3"/>
      <x:c r="M9" s="3"/>
      <x:c r="N9" s="3"/>
      <x:c r="O9" s="3"/>
      <x:c r="P9" s="3"/>
    </x:row>
    <x:row r="10">
      <x:c r="A10" s="3"/>
      <x:c r="B10" s="3"/>
      <x:c r="C10" s="3"/>
      <x:c r="D10" s="3"/>
      <x:c r="E10" s="3"/>
      <x:c r="F10" s="3"/>
      <x:c r="G10" s="3"/>
      <x:c r="H10" s="3"/>
      <x:c r="I10" s="3"/>
      <x:c r="J10" s="3"/>
      <x:c r="K10" s="3"/>
      <x:c r="L10" s="3"/>
      <x:c r="M10" s="3"/>
      <x:c r="N10" s="3"/>
      <x:c r="O10" s="3"/>
      <x:c r="P10" s="3"/>
    </x:row>
    <x:row r="11" ht="35" customHeight="1">
      <x:c r="A11" s="3" t="str">
        <x:v>確認範囲の分担：1001P-16＝シート構成／25＝明細分離、3003P-8＝正常日付範囲の無視／24＝無効日付の検査抑止、3002P-17・18＝5・6件／28＝10・11件、2001P-4＝シート数／44＝複製した内容の独立性へ分担。</x:v>
      </x:c>
      <x:c r="B11" s="3"/>
      <x:c r="C11" s="3"/>
      <x:c r="D11" s="3"/>
      <x:c r="E11" s="3"/>
      <x:c r="F11" s="3"/>
      <x:c r="G11" s="3"/>
      <x:c r="H11" s="3"/>
      <x:c r="I11" s="3"/>
      <x:c r="J11" s="3"/>
      <x:c r="K11" s="3"/>
      <x:c r="L11" s="3"/>
      <x:c r="M11" s="3"/>
      <x:c r="N11" s="3"/>
      <x:c r="O11" s="3"/>
      <x:c r="P11" s="3"/>
    </x:row>
    <x:row r="12" ht="35" customHeight="1">
      <x:c r="A12" s="3"/>
      <x:c r="B12" s="3"/>
      <x:c r="C12" s="3"/>
      <x:c r="D12" s="3"/>
      <x:c r="E12" s="3"/>
      <x:c r="F12" s="3"/>
      <x:c r="G12" s="3"/>
      <x:c r="H12" s="3"/>
      <x:c r="I12" s="3"/>
      <x:c r="J12" s="3"/>
      <x:c r="K12" s="3"/>
      <x:c r="L12" s="3"/>
      <x:c r="M12" s="3"/>
      <x:c r="N12" s="3"/>
      <x:c r="O12" s="3"/>
      <x:c r="P12" s="3"/>
    </x:row>
    <x:row r="13">
      <x:c r="A13" s="3"/>
      <x:c r="B13" s="3"/>
      <x:c r="C13" s="3"/>
      <x:c r="D13" s="3"/>
      <x:c r="E13" s="3"/>
      <x:c r="F13" s="3"/>
      <x:c r="G13" s="3"/>
      <x:c r="H13" s="3"/>
      <x:c r="I13" s="3"/>
      <x:c r="J13" s="3"/>
      <x:c r="K13" s="3"/>
      <x:c r="L13" s="3"/>
      <x:c r="M13" s="3"/>
      <x:c r="N13" s="3"/>
      <x:c r="O13" s="3"/>
      <x:c r="P13" s="3"/>
    </x:row>
    <x:row r="14">
      <x:c r="A14" s="3"/>
      <x:c r="B14" s="3"/>
      <x:c r="C14" s="3"/>
      <x:c r="D14" s="3"/>
      <x:c r="E14" s="3"/>
      <x:c r="F14" s="3"/>
      <x:c r="G14" s="3"/>
      <x:c r="H14" s="3"/>
      <x:c r="I14" s="3"/>
      <x:c r="J14" s="3"/>
      <x:c r="K14" s="3"/>
      <x:c r="L14" s="3"/>
      <x:c r="M14" s="3"/>
      <x:c r="N14" s="3"/>
      <x:c r="O14" s="3"/>
      <x:c r="P14" s="3"/>
    </x:row>
    <x:row r="15">
      <x:c r="A15" s="3"/>
      <x:c r="B15" s="3"/>
      <x:c r="C15" s="3"/>
      <x:c r="D15" s="3"/>
      <x:c r="E15" s="3"/>
      <x:c r="F15" s="3"/>
      <x:c r="G15" s="3"/>
      <x:c r="H15" s="3"/>
      <x:c r="I15" s="3"/>
      <x:c r="J15" s="3"/>
      <x:c r="K15" s="3"/>
      <x:c r="L15" s="3"/>
      <x:c r="M15" s="3"/>
      <x:c r="N15" s="3"/>
      <x:c r="O15" s="3"/>
      <x:c r="P15" s="3"/>
    </x:row>
    <x:row r="16">
      <x:c r="A16" s="3"/>
      <x:c r="B16" s="3"/>
      <x:c r="C16" s="3"/>
      <x:c r="D16" s="3"/>
      <x:c r="E16" s="3"/>
      <x:c r="F16" s="3"/>
      <x:c r="G16" s="3"/>
      <x:c r="H16" s="3"/>
      <x:c r="I16" s="3"/>
      <x:c r="J16" s="3"/>
      <x:c r="K16" s="3"/>
      <x:c r="L16" s="3"/>
      <x:c r="M16" s="3"/>
      <x:c r="N16" s="3"/>
      <x:c r="O16" s="3"/>
      <x:c r="P16" s="3"/>
    </x:row>
  </x:sheetData>
  <x:mergeCells>
    <x:mergeCell ref="A1:P1"/>
    <x:mergeCell ref="A11:F12"/>
  </x:mergeCells>
  <x:pageMargins left="0.7" right="0.7" top="0.75" bottom="0.75" header="0.3" footer="0.3"/>
</x:worksheet>
</file>